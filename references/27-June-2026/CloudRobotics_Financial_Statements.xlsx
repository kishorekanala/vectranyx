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P&amp;L Statement" sheetId="2" state="visible" r:id="rId4"/>
    <sheet name="Balance Sheet" sheetId="3" state="visible" r:id="rId5"/>
    <sheet name="Cash Flow Statement" sheetId="4" state="visible" r:id="rId6"/>
    <sheet name="Assumptions &amp; Rati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<sst xmlns="http://schemas.openxmlformats.org/spreadsheetml/2006/main" count="173" uniqueCount="149">
  <si>
    <t xml:space="preserve">CloudRobotics Co.</t>
  </si>
  <si>
    <t xml:space="preserve">Historical Financial Statements</t>
  </si>
  <si>
    <t xml:space="preserve">Prepared for ECRA System Ingestion</t>
  </si>
  <si>
    <t xml:space="preserve">Sheet</t>
  </si>
  <si>
    <t xml:space="preserve">Contents</t>
  </si>
  <si>
    <t xml:space="preserve">Period</t>
  </si>
  <si>
    <t xml:space="preserve">P&amp;L Statement</t>
  </si>
  <si>
    <t xml:space="preserve">Revenue, Gross Profit, EBITDA, Net Profit</t>
  </si>
  <si>
    <t xml:space="preserve">FY2023–FY2026 Actuals + FY2027E</t>
  </si>
  <si>
    <t xml:space="preserve">Balance Sheet</t>
  </si>
  <si>
    <t xml:space="preserve">Assets, Liabilities, Equity, Balance Check</t>
  </si>
  <si>
    <t xml:space="preserve">Cash Flow Statement</t>
  </si>
  <si>
    <t xml:space="preserve">Operating, Investing, Financing, Closing Cash</t>
  </si>
  <si>
    <t xml:space="preserve">Assumptions &amp; Ratios</t>
  </si>
  <si>
    <t xml:space="preserve">Key drivers, Liquidity, Profitability, Leverage</t>
  </si>
  <si>
    <t xml:space="preserve">Colour Convention</t>
  </si>
  <si>
    <t xml:space="preserve">Blue text — Hardcoded inputs (change for scenarios)</t>
  </si>
  <si>
    <t xml:space="preserve">Black text — Formulas &amp; calculations</t>
  </si>
  <si>
    <t xml:space="preserve">Green text — Cross-sheet links</t>
  </si>
  <si>
    <t xml:space="preserve">Note: All figures in INR Lakhs. FY = April–March (Indian fiscal year). FY2023 = pre-incorporation bootstrap. FY2025 unaudited — management accounts. FY2026 and FY2027E are projections. Data is illustrative for ECRA ingestion.</t>
  </si>
  <si>
    <t xml:space="preserve">CloudRobotics Co. — Profit &amp; Loss Statement</t>
  </si>
  <si>
    <t xml:space="preserve">All figures in INR Lakhs  |  FY ending 31 March  |  Illustrative — for ECRA ingestion</t>
  </si>
  <si>
    <t xml:space="preserve">Note</t>
  </si>
  <si>
    <t xml:space="preserve">FY2023</t>
  </si>
  <si>
    <t xml:space="preserve">FY2024</t>
  </si>
  <si>
    <t xml:space="preserve">FY2025</t>
  </si>
  <si>
    <t xml:space="preserve">FY2026
(Unaudited)</t>
  </si>
  <si>
    <t xml:space="preserve">FY2027E</t>
  </si>
  <si>
    <t xml:space="preserve">  REVENUE</t>
  </si>
  <si>
    <t xml:space="preserve">    Hardware Sales</t>
  </si>
  <si>
    <t xml:space="preserve">R1</t>
  </si>
  <si>
    <t xml:space="preserve">    RaaS Subscriptions</t>
  </si>
  <si>
    <t xml:space="preserve">R2</t>
  </si>
  <si>
    <t xml:space="preserve">    Cloud Platform License</t>
  </si>
  <si>
    <t xml:space="preserve">R3</t>
  </si>
  <si>
    <t xml:space="preserve">    Grant / Pilot Revenue</t>
  </si>
  <si>
    <t xml:space="preserve">R4</t>
  </si>
  <si>
    <t xml:space="preserve">Total Revenue</t>
  </si>
  <si>
    <t xml:space="preserve">  COST OF GOODS SOLD (COGS)</t>
  </si>
  <si>
    <t xml:space="preserve">    Hardware — BOM &amp; Contract Manufacturing</t>
  </si>
  <si>
    <t xml:space="preserve">    Hardware — Logistics &amp; Warranty</t>
  </si>
  <si>
    <t xml:space="preserve">    Cloud Infrastructure Costs</t>
  </si>
  <si>
    <t xml:space="preserve">Total COGS</t>
  </si>
  <si>
    <t xml:space="preserve">Gross Profit</t>
  </si>
  <si>
    <t xml:space="preserve">Gross Margin %</t>
  </si>
  <si>
    <t xml:space="preserve">  OPERATING EXPENSES</t>
  </si>
  <si>
    <t xml:space="preserve">    R&amp;D &amp; Product Engineering</t>
  </si>
  <si>
    <t xml:space="preserve">    Salaries — Non-Engineering</t>
  </si>
  <si>
    <t xml:space="preserve">    Sales &amp; Marketing</t>
  </si>
  <si>
    <t xml:space="preserve">    General &amp; Administrative</t>
  </si>
  <si>
    <t xml:space="preserve">    Rent &amp; Facilities</t>
  </si>
  <si>
    <t xml:space="preserve">    Depreciation &amp; Amortisation</t>
  </si>
  <si>
    <t xml:space="preserve">    Legal, Compliance &amp; IP</t>
  </si>
  <si>
    <t xml:space="preserve">    Travel &amp; Business Development</t>
  </si>
  <si>
    <t xml:space="preserve">Total Operating Expenses</t>
  </si>
  <si>
    <t xml:space="preserve">EBITDA</t>
  </si>
  <si>
    <t xml:space="preserve">EBITDA Margin %</t>
  </si>
  <si>
    <t xml:space="preserve">    Finance Income / (Cost)</t>
  </si>
  <si>
    <t xml:space="preserve">Net Profit / (Loss) Before Tax</t>
  </si>
  <si>
    <t xml:space="preserve">    Income Tax Expense</t>
  </si>
  <si>
    <t xml:space="preserve">Net Profit / (Loss) After Tax</t>
  </si>
  <si>
    <t xml:space="preserve">Net Margin %</t>
  </si>
  <si>
    <t xml:space="preserve">Source: CloudRobotics Co. internal management accounts. FY2023 = pre-incorporation bootstrap phase. FY2024 = first full operating year. FY2025 = post-seed deployment. FY2026 = actuals (unaudited, FY ended 31 Mar 2026). FY2027E = current-year projection. All figures INR Lakhs. Audit not yet completed for FY2025 — unaudited management accounts.</t>
  </si>
  <si>
    <t xml:space="preserve">Colour convention: Blue = hardcoded input | Black = formula | Green = cross-sheet link</t>
  </si>
  <si>
    <t xml:space="preserve">CloudRobotics Co. — Balance Sheet</t>
  </si>
  <si>
    <t xml:space="preserve">All figures in INR Lakhs  |  As at 31 March  |  Illustrative — for ECRA ingestion</t>
  </si>
  <si>
    <t xml:space="preserve">  NON-CURRENT ASSETS</t>
  </si>
  <si>
    <t xml:space="preserve">    Property, Plant &amp; Equipment (net)</t>
  </si>
  <si>
    <t xml:space="preserve">    Intangible Assets (IP &amp; Software)</t>
  </si>
  <si>
    <t xml:space="preserve">    Security Deposits</t>
  </si>
  <si>
    <t xml:space="preserve">    Right-of-Use Assets</t>
  </si>
  <si>
    <t xml:space="preserve">Total Non-Current Assets</t>
  </si>
  <si>
    <t xml:space="preserve">  CURRENT ASSETS</t>
  </si>
  <si>
    <t xml:space="preserve">    Cash &amp; Cash Equivalents</t>
  </si>
  <si>
    <t xml:space="preserve">    Trade Receivables</t>
  </si>
  <si>
    <t xml:space="preserve">    Inventory (robot components &amp; WIP)</t>
  </si>
  <si>
    <t xml:space="preserve">    Prepaid Expenses &amp; Other</t>
  </si>
  <si>
    <t xml:space="preserve">    GST Receivable / Input Tax Credit</t>
  </si>
  <si>
    <t xml:space="preserve">Total Current Assets</t>
  </si>
  <si>
    <t xml:space="preserve">TOTAL ASSETS</t>
  </si>
  <si>
    <t xml:space="preserve">  EQUITY</t>
  </si>
  <si>
    <t xml:space="preserve">    Share Capital</t>
  </si>
  <si>
    <t xml:space="preserve">    Securities Premium (Seed + Series A)</t>
  </si>
  <si>
    <t xml:space="preserve">    Retained Earnings / (Accumulated Loss)</t>
  </si>
  <si>
    <t xml:space="preserve">Total Equity</t>
  </si>
  <si>
    <t xml:space="preserve">  NON-CURRENT LIABILITIES</t>
  </si>
  <si>
    <t xml:space="preserve">    Lease Liability (Long-term)</t>
  </si>
  <si>
    <t xml:space="preserve">    Deferred Tax Liability</t>
  </si>
  <si>
    <t xml:space="preserve">Total Non-Current Liabilities</t>
  </si>
  <si>
    <t xml:space="preserve">  CURRENT LIABILITIES</t>
  </si>
  <si>
    <t xml:space="preserve">    Trade Payables</t>
  </si>
  <si>
    <t xml:space="preserve">    Employee Dues &amp; Accruals</t>
  </si>
  <si>
    <t xml:space="preserve">    GST &amp; Tax Payable</t>
  </si>
  <si>
    <t xml:space="preserve">    Advance from Customers</t>
  </si>
  <si>
    <t xml:space="preserve">    Lease Liability (Current)</t>
  </si>
  <si>
    <t xml:space="preserve">    Other Current Liabilities</t>
  </si>
  <si>
    <t xml:space="preserve">Total Current Liabilities</t>
  </si>
  <si>
    <t xml:space="preserve">TOTAL EQUITY &amp; LIABILITIES</t>
  </si>
  <si>
    <t xml:space="preserve">BALANCE CHECK (Assets = Equity + Liabilities)</t>
  </si>
  <si>
    <t xml:space="preserve">Source: CloudRobotics Co. management accounts. FY2025 unaudited. Cash balance FY2025 includes INR 3.5 Cr (350 Lakhs) seed proceeds received in Q2 FY2025 less cumulative spend to date.</t>
  </si>
  <si>
    <t xml:space="preserve">CloudRobotics Co. — Cash Flow Statement</t>
  </si>
  <si>
    <t xml:space="preserve">  A.  CASH FLOWS FROM OPERATING ACTIVITIES</t>
  </si>
  <si>
    <t xml:space="preserve">    Net Profit / (Loss) After Tax (from P&amp;L)</t>
  </si>
  <si>
    <t xml:space="preserve">    Add: Depreciation &amp; Amortisation</t>
  </si>
  <si>
    <t xml:space="preserve">    (Increase) / Decrease in Trade Receivables</t>
  </si>
  <si>
    <t xml:space="preserve">    (Increase) / Decrease in Inventory</t>
  </si>
  <si>
    <t xml:space="preserve">    (Increase) / Decrease in Prepaid &amp; Other</t>
  </si>
  <si>
    <t xml:space="preserve">    Increase / (Decrease) in Trade Payables</t>
  </si>
  <si>
    <t xml:space="preserve">    Increase / (Decrease) in Employee Dues</t>
  </si>
  <si>
    <t xml:space="preserve">    Increase / (Decrease) in Other Liabilities</t>
  </si>
  <si>
    <t xml:space="preserve">Net Cash from Operating Activities</t>
  </si>
  <si>
    <t xml:space="preserve">  B.  CASH FLOWS FROM INVESTING ACTIVITIES</t>
  </si>
  <si>
    <t xml:space="preserve">    Purchase of Property, Plant &amp; Equipment</t>
  </si>
  <si>
    <t xml:space="preserve">    Development of Intangible Assets / IP</t>
  </si>
  <si>
    <t xml:space="preserve">    Security Deposits Paid</t>
  </si>
  <si>
    <t xml:space="preserve">Net Cash from Investing Activities</t>
  </si>
  <si>
    <t xml:space="preserve">  C.  CASH FLOWS FROM FINANCING ACTIVITIES</t>
  </si>
  <si>
    <t xml:space="preserve">    Proceeds from Share Issuance (Seed / Series A)</t>
  </si>
  <si>
    <t xml:space="preserve">    Repayment of Lease Liabilities</t>
  </si>
  <si>
    <t xml:space="preserve">    Founders' Capital Contribution</t>
  </si>
  <si>
    <t xml:space="preserve">Net Cash from Financing Activities</t>
  </si>
  <si>
    <t xml:space="preserve">Net Increase / (Decrease) in Cash</t>
  </si>
  <si>
    <t xml:space="preserve">Opening Cash &amp; Cash Equivalents</t>
  </si>
  <si>
    <t xml:space="preserve">Closing Cash &amp; Cash Equivalents</t>
  </si>
  <si>
    <t xml:space="preserve">Cross-Check: Closing Cash = Balance Sheet Cash?</t>
  </si>
  <si>
    <t xml:space="preserve">Source: CloudRobotics Co. management accounts. FY2023 = bootstrap. FY2024 = pre-seed ops. FY2025 = includes INR 305 Lakh seed proceeds (INR 3.5 Cr). FY2026 = actuals (unaudited, FY ended 31 Mar 2026). FY2027E = current-year projection.</t>
  </si>
  <si>
    <t xml:space="preserve">Colour convention: Blue = hardcoded input | Black = formula | Green = cross-sheet link (P&amp;L / BS)</t>
  </si>
  <si>
    <t xml:space="preserve">CloudRobotics Co. — Key Assumptions &amp; Financial Ratios</t>
  </si>
  <si>
    <t xml:space="preserve">FY2026E</t>
  </si>
  <si>
    <t xml:space="preserve">  OPERATING ASSUMPTIONS</t>
  </si>
  <si>
    <t xml:space="preserve">    Robots Deployed (cumulative)</t>
  </si>
  <si>
    <t xml:space="preserve">    New Customers (annual)</t>
  </si>
  <si>
    <t xml:space="preserve">    Avg Robots per Customer</t>
  </si>
  <si>
    <t xml:space="preserve">    RaaS Adoption Rate</t>
  </si>
  <si>
    <t xml:space="preserve">    Hardware ASP (INR Lakhs)</t>
  </si>
  <si>
    <t xml:space="preserve">    RaaS ARPU (INR Lakhs/robot/mo)</t>
  </si>
  <si>
    <t xml:space="preserve">    Headcount (FTEs)</t>
  </si>
  <si>
    <t xml:space="preserve">  LIQUIDITY RATIOS</t>
  </si>
  <si>
    <t xml:space="preserve">    Current Ratio  (Current Assets / Current Liabilities)</t>
  </si>
  <si>
    <t xml:space="preserve">    Cash &amp; Equivalents (INR Lakhs)</t>
  </si>
  <si>
    <t xml:space="preserve">    Cash Runway (months at current burn)</t>
  </si>
  <si>
    <t xml:space="preserve">  PROFITABILITY RATIOS</t>
  </si>
  <si>
    <t xml:space="preserve">    Gross Margin %</t>
  </si>
  <si>
    <t xml:space="preserve">    EBITDA Margin %</t>
  </si>
  <si>
    <t xml:space="preserve">    Net Margin %</t>
  </si>
  <si>
    <t xml:space="preserve">  LEVERAGE &amp; COVERAGE</t>
  </si>
  <si>
    <t xml:space="preserve">    Debt / Equity Ratio</t>
  </si>
  <si>
    <t xml:space="preserve">    Interest Coverage Ratio (EBITDA / Finance Cost)</t>
  </si>
  <si>
    <t xml:space="preserve">All ratios pull live from P&amp;L Statement and Balance Sheet tabs via green cross-sheet links.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</si>
</sst>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#,##0;\(#,##0\);\-"/>
    <numFmt numFmtId="167" formatCode="0.0%;\(0.0%\);\-"/>
    <numFmt numFmtId="168" formatCode="0.0\x;\(0.0&quot;x)&quot;;\-"/>
    <numFmt numFmtId="169" formatCode="0.0;\(0.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487E"/>
      <name val="Arial"/>
      <family val="0"/>
      <charset val="1"/>
    </font>
    <font>
      <b val="true"/>
      <sz val="14"/>
      <color rgb="FF2E74B5"/>
      <name val="Arial"/>
      <family val="0"/>
      <charset val="1"/>
    </font>
    <font>
      <sz val="11"/>
      <color rgb="FF60606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487E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60606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1E7145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87E"/>
        <bgColor rgb="FF003366"/>
      </patternFill>
    </fill>
    <fill>
      <patternFill patternType="solid">
        <fgColor rgb="FFD6E4F0"/>
        <bgColor rgb="FFDEEAF1"/>
      </patternFill>
    </fill>
    <fill>
      <patternFill patternType="solid">
        <fgColor rgb="FF2E74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DEEAF1"/>
        <bgColor rgb="FFD6E4F0"/>
      </patternFill>
    </fill>
    <fill>
      <patternFill patternType="solid">
        <fgColor rgb="FFBDD7EE"/>
        <bgColor rgb="FFCCCCCC"/>
      </patternFill>
    </fill>
    <fill>
      <patternFill patternType="solid">
        <fgColor rgb="FFE2EFDA"/>
        <bgColor rgb="FFDEEA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CCCCC"/>
      <rgbColor rgb="FF808080"/>
      <rgbColor rgb="FF9999FF"/>
      <rgbColor rgb="FF993366"/>
      <rgbColor rgb="FFFFFF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606060"/>
      <rgbColor rgb="FF969696"/>
      <rgbColor rgb="FF003366"/>
      <rgbColor rgb="FF339966"/>
      <rgbColor rgb="FF003300"/>
      <rgbColor rgb="FF333300"/>
      <rgbColor rgb="FF993300"/>
      <rgbColor rgb="FF993366"/>
      <rgbColor rgb="FF1F487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4" min="3" style="1" width="20"/>
  </cols>
  <sheetData>
    <row r="1" customFormat="false" ht="9.75" hidden="false" customHeight="true" outlineLevel="0" collapsed="false"/>
    <row r="2" customFormat="false" ht="27.75" hidden="false" customHeight="true" outlineLevel="0" collapsed="false">
      <c r="B2" s="2" t="s">
        <v>0</v>
      </c>
      <c r="C2" s="2"/>
      <c r="D2" s="2"/>
    </row>
    <row r="3" customFormat="false" ht="19.5" hidden="false" customHeight="true" outlineLevel="0" collapsed="false">
      <c r="B3" s="3" t="s">
        <v>1</v>
      </c>
      <c r="C3" s="3"/>
      <c r="D3" s="3"/>
    </row>
    <row r="4" customFormat="false" ht="16.5" hidden="false" customHeight="true" outlineLevel="0" collapsed="false">
      <c r="B4" s="4" t="s">
        <v>2</v>
      </c>
      <c r="C4" s="4"/>
      <c r="D4" s="4"/>
    </row>
    <row r="6" customFormat="false" ht="15" hidden="false" customHeight="true" outlineLevel="0" collapsed="false">
      <c r="B6" s="5" t="s">
        <v>3</v>
      </c>
      <c r="C6" s="5" t="s">
        <v>4</v>
      </c>
      <c r="D6" s="5" t="s">
        <v>5</v>
      </c>
    </row>
    <row r="7" customFormat="false" ht="15" hidden="false" customHeight="true" outlineLevel="0" collapsed="false">
      <c r="B7" s="6" t="s">
        <v>6</v>
      </c>
      <c r="C7" s="7" t="s">
        <v>7</v>
      </c>
      <c r="D7" s="7" t="s">
        <v>8</v>
      </c>
    </row>
    <row r="8" customFormat="false" ht="15" hidden="false" customHeight="true" outlineLevel="0" collapsed="false">
      <c r="B8" s="6" t="s">
        <v>9</v>
      </c>
      <c r="C8" s="7" t="s">
        <v>10</v>
      </c>
      <c r="D8" s="7" t="s">
        <v>8</v>
      </c>
    </row>
    <row r="9" customFormat="false" ht="15" hidden="false" customHeight="true" outlineLevel="0" collapsed="false">
      <c r="B9" s="6" t="s">
        <v>11</v>
      </c>
      <c r="C9" s="7" t="s">
        <v>12</v>
      </c>
      <c r="D9" s="7" t="s">
        <v>8</v>
      </c>
    </row>
    <row r="10" customFormat="false" ht="15" hidden="false" customHeight="true" outlineLevel="0" collapsed="false">
      <c r="B10" s="6" t="s">
        <v>13</v>
      </c>
      <c r="C10" s="7" t="s">
        <v>14</v>
      </c>
      <c r="D10" s="7" t="s">
        <v>8</v>
      </c>
    </row>
    <row r="12" customFormat="false" ht="15" hidden="false" customHeight="true" outlineLevel="0" collapsed="false">
      <c r="B12" s="8" t="s">
        <v>15</v>
      </c>
      <c r="C12" s="8"/>
      <c r="D12" s="8"/>
    </row>
    <row r="13" customFormat="false" ht="15" hidden="false" customHeight="true" outlineLevel="0" collapsed="false">
      <c r="B13" s="9" t="s">
        <v>16</v>
      </c>
      <c r="C13" s="9"/>
      <c r="D13" s="9"/>
    </row>
    <row r="14" customFormat="false" ht="15" hidden="false" customHeight="true" outlineLevel="0" collapsed="false">
      <c r="B14" s="10" t="s">
        <v>17</v>
      </c>
      <c r="C14" s="10"/>
      <c r="D14" s="10"/>
    </row>
    <row r="15" customFormat="false" ht="15" hidden="false" customHeight="true" outlineLevel="0" collapsed="false">
      <c r="B15" s="11" t="s">
        <v>18</v>
      </c>
      <c r="C15" s="11"/>
      <c r="D15" s="11"/>
    </row>
    <row r="17" customFormat="false" ht="36" hidden="false" customHeight="true" outlineLevel="0" collapsed="false">
      <c r="B17" s="12" t="s">
        <v>19</v>
      </c>
      <c r="C17" s="12"/>
      <c r="D17" s="12"/>
    </row>
  </sheetData>
  <mergeCells count="8">
    <mergeCell ref="B2:D2"/>
    <mergeCell ref="B3:D3"/>
    <mergeCell ref="B4:D4"/>
    <mergeCell ref="B12:D12"/>
    <mergeCell ref="B13:D13"/>
    <mergeCell ref="B14:D14"/>
    <mergeCell ref="B15:D15"/>
    <mergeCell ref="B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3"/>
    <col collapsed="false" customWidth="true" hidden="false" outlineLevel="0" max="7" min="3" style="1" width="14"/>
  </cols>
  <sheetData>
    <row r="1" customFormat="false" ht="21.75" hidden="false" customHeight="true" outlineLevel="0" collapsed="false">
      <c r="A1" s="13" t="s">
        <v>20</v>
      </c>
      <c r="B1" s="13"/>
      <c r="C1" s="13"/>
      <c r="D1" s="13"/>
      <c r="E1" s="13"/>
      <c r="F1" s="13"/>
      <c r="G1" s="13"/>
    </row>
    <row r="2" customFormat="false" ht="15" hidden="false" customHeight="true" outlineLevel="0" collapsed="false">
      <c r="A2" s="14" t="s">
        <v>21</v>
      </c>
      <c r="B2" s="14"/>
      <c r="C2" s="14"/>
      <c r="D2" s="14"/>
      <c r="E2" s="14"/>
      <c r="F2" s="14"/>
      <c r="G2" s="14"/>
    </row>
    <row r="3" customFormat="false" ht="6" hidden="false" customHeight="true" outlineLevel="0" collapsed="false"/>
    <row r="4" customFormat="false" ht="27.75" hidden="false" customHeight="true" outlineLevel="0" collapsed="false">
      <c r="A4" s="5"/>
      <c r="B4" s="15" t="s">
        <v>22</v>
      </c>
      <c r="C4" s="5" t="s">
        <v>23</v>
      </c>
      <c r="D4" s="5" t="s">
        <v>24</v>
      </c>
      <c r="E4" s="5" t="s">
        <v>25</v>
      </c>
      <c r="F4" s="16" t="s">
        <v>26</v>
      </c>
      <c r="G4" s="16" t="s">
        <v>27</v>
      </c>
    </row>
    <row r="5" customFormat="false" ht="18" hidden="false" customHeight="true" outlineLevel="0" collapsed="false">
      <c r="A5" s="17" t="s">
        <v>28</v>
      </c>
      <c r="B5" s="17"/>
      <c r="C5" s="17"/>
      <c r="D5" s="17"/>
      <c r="E5" s="17"/>
      <c r="F5" s="17"/>
      <c r="G5" s="17"/>
    </row>
    <row r="6" customFormat="false" ht="15" hidden="false" customHeight="true" outlineLevel="0" collapsed="false">
      <c r="A6" s="18" t="s">
        <v>29</v>
      </c>
      <c r="B6" s="19" t="s">
        <v>30</v>
      </c>
      <c r="C6" s="20"/>
      <c r="D6" s="20"/>
      <c r="E6" s="20"/>
      <c r="F6" s="20" t="n">
        <v>180</v>
      </c>
      <c r="G6" s="20" t="n">
        <v>540</v>
      </c>
    </row>
    <row r="7" customFormat="false" ht="15" hidden="false" customHeight="true" outlineLevel="0" collapsed="false">
      <c r="A7" s="18" t="s">
        <v>31</v>
      </c>
      <c r="B7" s="19" t="s">
        <v>32</v>
      </c>
      <c r="C7" s="20"/>
      <c r="D7" s="20"/>
      <c r="E7" s="20"/>
      <c r="F7" s="20" t="n">
        <v>50</v>
      </c>
      <c r="G7" s="20" t="n">
        <v>520</v>
      </c>
    </row>
    <row r="8" customFormat="false" ht="15" hidden="false" customHeight="true" outlineLevel="0" collapsed="false">
      <c r="A8" s="18" t="s">
        <v>33</v>
      </c>
      <c r="B8" s="19" t="s">
        <v>34</v>
      </c>
      <c r="C8" s="20"/>
      <c r="D8" s="20"/>
      <c r="E8" s="20"/>
      <c r="F8" s="20" t="n">
        <v>20</v>
      </c>
      <c r="G8" s="20" t="n">
        <v>140</v>
      </c>
    </row>
    <row r="9" customFormat="false" ht="15" hidden="false" customHeight="true" outlineLevel="0" collapsed="false">
      <c r="A9" s="18" t="s">
        <v>35</v>
      </c>
      <c r="B9" s="19" t="s">
        <v>36</v>
      </c>
      <c r="C9" s="20"/>
      <c r="D9" s="20"/>
      <c r="E9" s="20" t="n">
        <v>15</v>
      </c>
      <c r="F9" s="20"/>
      <c r="G9" s="20"/>
    </row>
    <row r="10" customFormat="false" ht="15" hidden="false" customHeight="true" outlineLevel="0" collapsed="false">
      <c r="A10" s="21" t="s">
        <v>37</v>
      </c>
      <c r="C10" s="22" t="n">
        <f aca="false">SUM(C6:C9)</f>
        <v>0</v>
      </c>
      <c r="D10" s="22" t="n">
        <f aca="false">SUM(D6:D9)</f>
        <v>0</v>
      </c>
      <c r="E10" s="22" t="n">
        <f aca="false">SUM(E6:E9)</f>
        <v>15</v>
      </c>
      <c r="F10" s="22" t="n">
        <f aca="false">SUM(F6:F9)</f>
        <v>250</v>
      </c>
      <c r="G10" s="22" t="n">
        <f aca="false">SUM(G6:G9)</f>
        <v>1200</v>
      </c>
    </row>
    <row r="11" customFormat="false" ht="6" hidden="false" customHeight="true" outlineLevel="0" collapsed="false"/>
    <row r="12" customFormat="false" ht="18" hidden="false" customHeight="true" outlineLevel="0" collapsed="false">
      <c r="A12" s="17" t="s">
        <v>38</v>
      </c>
      <c r="B12" s="17"/>
      <c r="C12" s="17"/>
      <c r="D12" s="17"/>
      <c r="E12" s="17"/>
      <c r="F12" s="17"/>
      <c r="G12" s="17"/>
    </row>
    <row r="13" customFormat="false" ht="15" hidden="false" customHeight="true" outlineLevel="0" collapsed="false">
      <c r="A13" s="18" t="s">
        <v>39</v>
      </c>
      <c r="C13" s="20"/>
      <c r="D13" s="20"/>
      <c r="E13" s="20" t="n">
        <v>10</v>
      </c>
      <c r="F13" s="20" t="n">
        <v>117</v>
      </c>
      <c r="G13" s="20" t="n">
        <v>351</v>
      </c>
    </row>
    <row r="14" customFormat="false" ht="15" hidden="false" customHeight="true" outlineLevel="0" collapsed="false">
      <c r="A14" s="18" t="s">
        <v>40</v>
      </c>
      <c r="C14" s="20"/>
      <c r="D14" s="20"/>
      <c r="E14" s="20" t="n">
        <v>2</v>
      </c>
      <c r="F14" s="20" t="n">
        <v>18</v>
      </c>
      <c r="G14" s="20" t="n">
        <v>54</v>
      </c>
    </row>
    <row r="15" customFormat="false" ht="15" hidden="false" customHeight="true" outlineLevel="0" collapsed="false">
      <c r="A15" s="18" t="s">
        <v>41</v>
      </c>
      <c r="C15" s="20"/>
      <c r="D15" s="20"/>
      <c r="E15" s="20" t="n">
        <v>3</v>
      </c>
      <c r="F15" s="20" t="n">
        <v>20</v>
      </c>
      <c r="G15" s="20" t="n">
        <v>80</v>
      </c>
    </row>
    <row r="16" customFormat="false" ht="15" hidden="false" customHeight="true" outlineLevel="0" collapsed="false">
      <c r="A16" s="21" t="s">
        <v>42</v>
      </c>
      <c r="C16" s="22" t="n">
        <f aca="false">SUM(C13:C15)</f>
        <v>0</v>
      </c>
      <c r="D16" s="22" t="n">
        <f aca="false">SUM(D13:D15)</f>
        <v>0</v>
      </c>
      <c r="E16" s="22" t="n">
        <f aca="false">SUM(E13:E15)</f>
        <v>15</v>
      </c>
      <c r="F16" s="22" t="n">
        <f aca="false">SUM(F13:F15)</f>
        <v>155</v>
      </c>
      <c r="G16" s="22" t="n">
        <f aca="false">SUM(G13:G15)</f>
        <v>485</v>
      </c>
    </row>
    <row r="17" customFormat="false" ht="15" hidden="false" customHeight="true" outlineLevel="0" collapsed="false">
      <c r="A17" s="23" t="s">
        <v>43</v>
      </c>
      <c r="C17" s="24" t="n">
        <f aca="false">C10-C16</f>
        <v>0</v>
      </c>
      <c r="D17" s="24" t="n">
        <f aca="false">D10-D16</f>
        <v>0</v>
      </c>
      <c r="E17" s="24" t="n">
        <f aca="false">E10-E16</f>
        <v>0</v>
      </c>
      <c r="F17" s="24" t="n">
        <f aca="false">F10-F16</f>
        <v>95</v>
      </c>
      <c r="G17" s="24" t="n">
        <f aca="false">G10-G16</f>
        <v>715</v>
      </c>
    </row>
    <row r="18" customFormat="false" ht="15" hidden="false" customHeight="true" outlineLevel="0" collapsed="false">
      <c r="A18" s="23" t="s">
        <v>44</v>
      </c>
      <c r="C18" s="25" t="str">
        <f aca="false">IF(C10=0,"-",C17/C10)</f>
        <v>-</v>
      </c>
      <c r="D18" s="25" t="str">
        <f aca="false">IF(D10=0,"-",D17/D10)</f>
        <v>-</v>
      </c>
      <c r="E18" s="25" t="n">
        <f aca="false">IF(E10=0,"-",E17/E10)</f>
        <v>0</v>
      </c>
      <c r="F18" s="25" t="n">
        <f aca="false">IF(F10=0,"-",F17/F10)</f>
        <v>0.38</v>
      </c>
      <c r="G18" s="25" t="n">
        <f aca="false">IF(G10=0,"-",G17/G10)</f>
        <v>0.595833333333333</v>
      </c>
    </row>
    <row r="19" customFormat="false" ht="6" hidden="false" customHeight="true" outlineLevel="0" collapsed="false"/>
    <row r="20" customFormat="false" ht="18" hidden="false" customHeight="true" outlineLevel="0" collapsed="false">
      <c r="A20" s="17" t="s">
        <v>45</v>
      </c>
      <c r="B20" s="17"/>
      <c r="C20" s="17"/>
      <c r="D20" s="17"/>
      <c r="E20" s="17"/>
      <c r="F20" s="17"/>
      <c r="G20" s="17"/>
    </row>
    <row r="21" customFormat="false" ht="15" hidden="false" customHeight="true" outlineLevel="0" collapsed="false">
      <c r="A21" s="18" t="s">
        <v>46</v>
      </c>
      <c r="C21" s="20" t="n">
        <v>8</v>
      </c>
      <c r="D21" s="20" t="n">
        <v>35</v>
      </c>
      <c r="E21" s="20" t="n">
        <v>120</v>
      </c>
      <c r="F21" s="20" t="n">
        <v>550</v>
      </c>
      <c r="G21" s="20" t="n">
        <v>700</v>
      </c>
    </row>
    <row r="22" customFormat="false" ht="15" hidden="false" customHeight="true" outlineLevel="0" collapsed="false">
      <c r="A22" s="18" t="s">
        <v>47</v>
      </c>
      <c r="C22" s="20" t="n">
        <v>5</v>
      </c>
      <c r="D22" s="20" t="n">
        <v>12</v>
      </c>
      <c r="E22" s="20" t="n">
        <v>45</v>
      </c>
      <c r="F22" s="20" t="n">
        <v>80</v>
      </c>
      <c r="G22" s="20" t="n">
        <v>200</v>
      </c>
    </row>
    <row r="23" customFormat="false" ht="15" hidden="false" customHeight="true" outlineLevel="0" collapsed="false">
      <c r="A23" s="18" t="s">
        <v>48</v>
      </c>
      <c r="C23" s="20"/>
      <c r="D23" s="20" t="n">
        <v>3</v>
      </c>
      <c r="E23" s="20" t="n">
        <v>10</v>
      </c>
      <c r="F23" s="20" t="n">
        <v>150</v>
      </c>
      <c r="G23" s="20" t="n">
        <v>350</v>
      </c>
    </row>
    <row r="24" customFormat="false" ht="15" hidden="false" customHeight="true" outlineLevel="0" collapsed="false">
      <c r="A24" s="18" t="s">
        <v>49</v>
      </c>
      <c r="C24" s="20" t="n">
        <v>3</v>
      </c>
      <c r="D24" s="20" t="n">
        <v>8</v>
      </c>
      <c r="E24" s="20" t="n">
        <v>25</v>
      </c>
      <c r="F24" s="20" t="n">
        <v>100</v>
      </c>
      <c r="G24" s="20" t="n">
        <v>150</v>
      </c>
    </row>
    <row r="25" customFormat="false" ht="15" hidden="false" customHeight="true" outlineLevel="0" collapsed="false">
      <c r="A25" s="18" t="s">
        <v>50</v>
      </c>
      <c r="C25" s="20" t="n">
        <v>2</v>
      </c>
      <c r="D25" s="20" t="n">
        <v>4</v>
      </c>
      <c r="E25" s="20" t="n">
        <v>12</v>
      </c>
      <c r="F25" s="20" t="n">
        <v>24</v>
      </c>
      <c r="G25" s="20" t="n">
        <v>36</v>
      </c>
    </row>
    <row r="26" customFormat="false" ht="15" hidden="false" customHeight="true" outlineLevel="0" collapsed="false">
      <c r="A26" s="18" t="s">
        <v>51</v>
      </c>
      <c r="C26" s="20" t="n">
        <v>1</v>
      </c>
      <c r="D26" s="20" t="n">
        <v>4</v>
      </c>
      <c r="E26" s="20" t="n">
        <v>10</v>
      </c>
      <c r="F26" s="20" t="n">
        <v>40</v>
      </c>
      <c r="G26" s="20" t="n">
        <v>60</v>
      </c>
    </row>
    <row r="27" customFormat="false" ht="15" hidden="false" customHeight="true" outlineLevel="0" collapsed="false">
      <c r="A27" s="18" t="s">
        <v>52</v>
      </c>
      <c r="C27" s="20" t="n">
        <v>2</v>
      </c>
      <c r="D27" s="20" t="n">
        <v>6</v>
      </c>
      <c r="E27" s="20" t="n">
        <v>18</v>
      </c>
      <c r="F27" s="20" t="n">
        <v>30</v>
      </c>
      <c r="G27" s="20" t="n">
        <v>40</v>
      </c>
    </row>
    <row r="28" customFormat="false" ht="15" hidden="false" customHeight="true" outlineLevel="0" collapsed="false">
      <c r="A28" s="18" t="s">
        <v>53</v>
      </c>
      <c r="C28" s="20" t="n">
        <v>1</v>
      </c>
      <c r="D28" s="20" t="n">
        <v>2</v>
      </c>
      <c r="E28" s="20" t="n">
        <v>8</v>
      </c>
      <c r="F28" s="20" t="n">
        <v>20</v>
      </c>
      <c r="G28" s="20" t="n">
        <v>40</v>
      </c>
    </row>
    <row r="29" customFormat="false" ht="15" hidden="false" customHeight="true" outlineLevel="0" collapsed="false">
      <c r="A29" s="21" t="s">
        <v>54</v>
      </c>
      <c r="C29" s="22" t="n">
        <f aca="false">SUM(C21:C28)</f>
        <v>22</v>
      </c>
      <c r="D29" s="22" t="n">
        <f aca="false">SUM(D21:D28)</f>
        <v>74</v>
      </c>
      <c r="E29" s="22" t="n">
        <f aca="false">SUM(E21:E28)</f>
        <v>248</v>
      </c>
      <c r="F29" s="22" t="n">
        <f aca="false">SUM(F21:F28)</f>
        <v>994</v>
      </c>
      <c r="G29" s="22" t="n">
        <f aca="false">SUM(G21:G28)</f>
        <v>1576</v>
      </c>
    </row>
    <row r="30" customFormat="false" ht="6" hidden="false" customHeight="true" outlineLevel="0" collapsed="false"/>
    <row r="31" customFormat="false" ht="15" hidden="false" customHeight="true" outlineLevel="0" collapsed="false">
      <c r="A31" s="21" t="s">
        <v>55</v>
      </c>
      <c r="C31" s="22" t="n">
        <f aca="false">C17-C29</f>
        <v>-22</v>
      </c>
      <c r="D31" s="22" t="n">
        <f aca="false">D17-D29</f>
        <v>-74</v>
      </c>
      <c r="E31" s="22" t="n">
        <f aca="false">E17-E29</f>
        <v>-248</v>
      </c>
      <c r="F31" s="22" t="n">
        <f aca="false">F17-F29</f>
        <v>-899</v>
      </c>
      <c r="G31" s="22" t="n">
        <f aca="false">G17-G29</f>
        <v>-861</v>
      </c>
    </row>
    <row r="32" customFormat="false" ht="15" hidden="false" customHeight="true" outlineLevel="0" collapsed="false">
      <c r="A32" s="21" t="s">
        <v>56</v>
      </c>
      <c r="C32" s="26" t="str">
        <f aca="false">IF(C10=0,"-",C31/C10)</f>
        <v>-</v>
      </c>
      <c r="D32" s="26" t="str">
        <f aca="false">IF(D10=0,"-",D31/D10)</f>
        <v>-</v>
      </c>
      <c r="E32" s="26" t="n">
        <f aca="false">IF(E10=0,"-",E31/E10)</f>
        <v>-16.5333333333333</v>
      </c>
      <c r="F32" s="26" t="n">
        <f aca="false">IF(F10=0,"-",F31/F10)</f>
        <v>-3.596</v>
      </c>
      <c r="G32" s="26" t="n">
        <f aca="false">IF(G10=0,"-",G31/G10)</f>
        <v>-0.7175</v>
      </c>
    </row>
    <row r="33" customFormat="false" ht="15" hidden="false" customHeight="true" outlineLevel="0" collapsed="false">
      <c r="A33" s="18" t="s">
        <v>57</v>
      </c>
      <c r="C33" s="20"/>
      <c r="D33" s="20" t="n">
        <v>1</v>
      </c>
      <c r="E33" s="20" t="n">
        <v>4</v>
      </c>
      <c r="F33" s="20" t="n">
        <v>20</v>
      </c>
      <c r="G33" s="20" t="n">
        <v>15</v>
      </c>
    </row>
    <row r="34" customFormat="false" ht="15" hidden="false" customHeight="true" outlineLevel="0" collapsed="false">
      <c r="A34" s="21" t="s">
        <v>58</v>
      </c>
      <c r="C34" s="22" t="n">
        <f aca="false">C31+C33</f>
        <v>-22</v>
      </c>
      <c r="D34" s="22" t="n">
        <f aca="false">D31+D33</f>
        <v>-73</v>
      </c>
      <c r="E34" s="22" t="n">
        <f aca="false">E31+E33</f>
        <v>-244</v>
      </c>
      <c r="F34" s="22" t="n">
        <f aca="false">F31+F33</f>
        <v>-879</v>
      </c>
      <c r="G34" s="22" t="n">
        <f aca="false">G31+G33</f>
        <v>-846</v>
      </c>
    </row>
    <row r="35" customFormat="false" ht="15" hidden="false" customHeight="true" outlineLevel="0" collapsed="false">
      <c r="A35" s="18" t="s">
        <v>59</v>
      </c>
      <c r="C35" s="27" t="n">
        <f aca="false">IF(C34&gt;0,C34*0.25,0)</f>
        <v>0</v>
      </c>
      <c r="D35" s="27" t="n">
        <f aca="false">IF(D34&gt;0,D34*0.25,0)</f>
        <v>0</v>
      </c>
      <c r="E35" s="27" t="n">
        <f aca="false">IF(E34&gt;0,E34*0.25,0)</f>
        <v>0</v>
      </c>
      <c r="F35" s="27" t="n">
        <f aca="false">IF(F34&gt;0,F34*0.25,0)</f>
        <v>0</v>
      </c>
      <c r="G35" s="27" t="n">
        <f aca="false">IF(G34&gt;0,G34*0.25,0)</f>
        <v>0</v>
      </c>
    </row>
    <row r="36" customFormat="false" ht="15" hidden="false" customHeight="true" outlineLevel="0" collapsed="false">
      <c r="A36" s="23" t="s">
        <v>60</v>
      </c>
      <c r="C36" s="24" t="n">
        <f aca="false">C34-C35</f>
        <v>-22</v>
      </c>
      <c r="D36" s="24" t="n">
        <f aca="false">D34-D35</f>
        <v>-73</v>
      </c>
      <c r="E36" s="24" t="n">
        <f aca="false">E34-E35</f>
        <v>-244</v>
      </c>
      <c r="F36" s="24" t="n">
        <f aca="false">F34-F35</f>
        <v>-879</v>
      </c>
      <c r="G36" s="24" t="n">
        <f aca="false">G34-G35</f>
        <v>-846</v>
      </c>
    </row>
    <row r="37" customFormat="false" ht="15" hidden="false" customHeight="true" outlineLevel="0" collapsed="false">
      <c r="A37" s="23" t="s">
        <v>61</v>
      </c>
      <c r="C37" s="25" t="str">
        <f aca="false">IF(C10=0,"-",C36/C10)</f>
        <v>-</v>
      </c>
      <c r="D37" s="25" t="str">
        <f aca="false">IF(D10=0,"-",D36/D10)</f>
        <v>-</v>
      </c>
      <c r="E37" s="25" t="n">
        <f aca="false">IF(E10=0,"-",E36/E10)</f>
        <v>-16.2666666666667</v>
      </c>
      <c r="F37" s="25" t="n">
        <f aca="false">IF(F10=0,"-",F36/F10)</f>
        <v>-3.516</v>
      </c>
      <c r="G37" s="25" t="n">
        <f aca="false">IF(G10=0,"-",G36/G10)</f>
        <v>-0.705</v>
      </c>
    </row>
    <row r="38" customFormat="false" ht="6" hidden="false" customHeight="true" outlineLevel="0" collapsed="false"/>
    <row r="39" customFormat="false" ht="15" hidden="false" customHeight="true" outlineLevel="0" collapsed="false">
      <c r="A39" s="28" t="s">
        <v>62</v>
      </c>
      <c r="B39" s="28"/>
      <c r="C39" s="28"/>
      <c r="D39" s="28"/>
      <c r="E39" s="28"/>
      <c r="F39" s="28"/>
      <c r="G39" s="28"/>
    </row>
    <row r="40" customFormat="false" ht="15" hidden="false" customHeight="true" outlineLevel="0" collapsed="false">
      <c r="A40" s="28" t="s">
        <v>63</v>
      </c>
      <c r="B40" s="28"/>
      <c r="C40" s="28"/>
      <c r="D40" s="28"/>
      <c r="E40" s="28"/>
      <c r="F40" s="28"/>
      <c r="G40" s="28"/>
    </row>
  </sheetData>
  <mergeCells count="7">
    <mergeCell ref="A1:G1"/>
    <mergeCell ref="A2:G2"/>
    <mergeCell ref="A5:G5"/>
    <mergeCell ref="A12:G12"/>
    <mergeCell ref="A20:G20"/>
    <mergeCell ref="A39:G39"/>
    <mergeCell ref="A40:G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3"/>
    <col collapsed="false" customWidth="true" hidden="false" outlineLevel="0" max="7" min="3" style="1" width="14"/>
  </cols>
  <sheetData>
    <row r="1" customFormat="false" ht="21.75" hidden="false" customHeight="true" outlineLevel="0" collapsed="false">
      <c r="A1" s="13" t="s">
        <v>64</v>
      </c>
      <c r="B1" s="13"/>
      <c r="C1" s="13"/>
      <c r="D1" s="13"/>
      <c r="E1" s="13"/>
      <c r="F1" s="13"/>
      <c r="G1" s="13"/>
    </row>
    <row r="2" customFormat="false" ht="15" hidden="false" customHeight="true" outlineLevel="0" collapsed="false">
      <c r="A2" s="14" t="s">
        <v>65</v>
      </c>
      <c r="B2" s="14"/>
      <c r="C2" s="14"/>
      <c r="D2" s="14"/>
      <c r="E2" s="14"/>
      <c r="F2" s="14"/>
      <c r="G2" s="14"/>
    </row>
    <row r="3" customFormat="false" ht="6" hidden="false" customHeight="true" outlineLevel="0" collapsed="false"/>
    <row r="4" customFormat="false" ht="27.75" hidden="false" customHeight="true" outlineLevel="0" collapsed="false">
      <c r="A4" s="5"/>
      <c r="B4" s="15" t="s">
        <v>22</v>
      </c>
      <c r="C4" s="5" t="s">
        <v>23</v>
      </c>
      <c r="D4" s="5" t="s">
        <v>24</v>
      </c>
      <c r="E4" s="5" t="s">
        <v>25</v>
      </c>
      <c r="F4" s="16" t="s">
        <v>26</v>
      </c>
      <c r="G4" s="16" t="s">
        <v>27</v>
      </c>
    </row>
    <row r="5" customFormat="false" ht="18" hidden="false" customHeight="true" outlineLevel="0" collapsed="false">
      <c r="A5" s="17" t="s">
        <v>66</v>
      </c>
      <c r="B5" s="17"/>
      <c r="C5" s="17"/>
      <c r="D5" s="17"/>
      <c r="E5" s="17"/>
      <c r="F5" s="17"/>
      <c r="G5" s="17"/>
    </row>
    <row r="6" customFormat="false" ht="15" hidden="false" customHeight="true" outlineLevel="0" collapsed="false">
      <c r="A6" s="18" t="s">
        <v>67</v>
      </c>
      <c r="C6" s="20"/>
      <c r="D6" s="20" t="n">
        <v>5</v>
      </c>
      <c r="E6" s="20" t="n">
        <v>28</v>
      </c>
      <c r="F6" s="20" t="n">
        <v>55</v>
      </c>
      <c r="G6" s="20" t="n">
        <v>120</v>
      </c>
    </row>
    <row r="7" customFormat="false" ht="15" hidden="false" customHeight="true" outlineLevel="0" collapsed="false">
      <c r="A7" s="18" t="s">
        <v>68</v>
      </c>
      <c r="C7" s="20"/>
      <c r="D7" s="20" t="n">
        <v>8</v>
      </c>
      <c r="E7" s="20" t="n">
        <v>22</v>
      </c>
      <c r="F7" s="20" t="n">
        <v>40</v>
      </c>
      <c r="G7" s="20" t="n">
        <v>60</v>
      </c>
    </row>
    <row r="8" customFormat="false" ht="15" hidden="false" customHeight="true" outlineLevel="0" collapsed="false">
      <c r="A8" s="18" t="s">
        <v>69</v>
      </c>
      <c r="C8" s="20" t="n">
        <v>1</v>
      </c>
      <c r="D8" s="20" t="n">
        <v>1</v>
      </c>
      <c r="E8" s="20" t="n">
        <v>3</v>
      </c>
      <c r="F8" s="20" t="n">
        <v>5</v>
      </c>
      <c r="G8" s="20" t="n">
        <v>8</v>
      </c>
    </row>
    <row r="9" customFormat="false" ht="15" hidden="false" customHeight="true" outlineLevel="0" collapsed="false">
      <c r="A9" s="18" t="s">
        <v>70</v>
      </c>
      <c r="C9" s="20"/>
      <c r="D9" s="20" t="n">
        <v>3</v>
      </c>
      <c r="E9" s="20" t="n">
        <v>8</v>
      </c>
      <c r="F9" s="20" t="n">
        <v>12</v>
      </c>
      <c r="G9" s="20" t="n">
        <v>20</v>
      </c>
    </row>
    <row r="10" customFormat="false" ht="15" hidden="false" customHeight="true" outlineLevel="0" collapsed="false">
      <c r="A10" s="21" t="s">
        <v>71</v>
      </c>
      <c r="C10" s="22" t="n">
        <f aca="false">SUM(C6:C9)</f>
        <v>1</v>
      </c>
      <c r="D10" s="22" t="n">
        <f aca="false">SUM(D6:D9)</f>
        <v>17</v>
      </c>
      <c r="E10" s="22" t="n">
        <f aca="false">SUM(E6:E9)</f>
        <v>61</v>
      </c>
      <c r="F10" s="22" t="n">
        <f aca="false">SUM(F6:F9)</f>
        <v>112</v>
      </c>
      <c r="G10" s="22" t="n">
        <f aca="false">SUM(G6:G9)</f>
        <v>208</v>
      </c>
    </row>
    <row r="11" customFormat="false" ht="6" hidden="false" customHeight="true" outlineLevel="0" collapsed="false"/>
    <row r="12" customFormat="false" ht="18" hidden="false" customHeight="true" outlineLevel="0" collapsed="false">
      <c r="A12" s="17" t="s">
        <v>72</v>
      </c>
      <c r="B12" s="17"/>
      <c r="C12" s="17"/>
      <c r="D12" s="17"/>
      <c r="E12" s="17"/>
      <c r="F12" s="17"/>
      <c r="G12" s="17"/>
    </row>
    <row r="13" customFormat="false" ht="15" hidden="false" customHeight="true" outlineLevel="0" collapsed="false">
      <c r="A13" s="18" t="s">
        <v>73</v>
      </c>
      <c r="C13" s="20" t="n">
        <v>5</v>
      </c>
      <c r="D13" s="20" t="n">
        <v>20</v>
      </c>
      <c r="E13" s="20" t="n">
        <v>290</v>
      </c>
      <c r="F13" s="20" t="n">
        <v>2420</v>
      </c>
      <c r="G13" s="20" t="n">
        <v>3570</v>
      </c>
    </row>
    <row r="14" customFormat="false" ht="15" hidden="false" customHeight="true" outlineLevel="0" collapsed="false">
      <c r="A14" s="18" t="s">
        <v>74</v>
      </c>
      <c r="C14" s="20"/>
      <c r="D14" s="20" t="n">
        <v>2</v>
      </c>
      <c r="E14" s="20" t="n">
        <v>12</v>
      </c>
      <c r="F14" s="20" t="n">
        <v>45</v>
      </c>
      <c r="G14" s="20" t="n">
        <v>180</v>
      </c>
    </row>
    <row r="15" customFormat="false" ht="15" hidden="false" customHeight="true" outlineLevel="0" collapsed="false">
      <c r="A15" s="18" t="s">
        <v>75</v>
      </c>
      <c r="C15" s="20"/>
      <c r="D15" s="20" t="n">
        <v>10</v>
      </c>
      <c r="E15" s="20" t="n">
        <v>30</v>
      </c>
      <c r="F15" s="20" t="n">
        <v>80</v>
      </c>
      <c r="G15" s="20" t="n">
        <v>200</v>
      </c>
    </row>
    <row r="16" customFormat="false" ht="15" hidden="false" customHeight="true" outlineLevel="0" collapsed="false">
      <c r="A16" s="18" t="s">
        <v>76</v>
      </c>
      <c r="C16" s="20" t="n">
        <v>1</v>
      </c>
      <c r="D16" s="20" t="n">
        <v>2</v>
      </c>
      <c r="E16" s="20" t="n">
        <v>5</v>
      </c>
      <c r="F16" s="20" t="n">
        <v>12</v>
      </c>
      <c r="G16" s="20" t="n">
        <v>25</v>
      </c>
    </row>
    <row r="17" customFormat="false" ht="15" hidden="false" customHeight="true" outlineLevel="0" collapsed="false">
      <c r="A17" s="18" t="s">
        <v>77</v>
      </c>
      <c r="C17" s="20"/>
      <c r="D17" s="20" t="n">
        <v>3</v>
      </c>
      <c r="E17" s="20" t="n">
        <v>8</v>
      </c>
      <c r="F17" s="20" t="n">
        <v>20</v>
      </c>
      <c r="G17" s="20" t="n">
        <v>50</v>
      </c>
    </row>
    <row r="18" customFormat="false" ht="15" hidden="false" customHeight="true" outlineLevel="0" collapsed="false">
      <c r="A18" s="21" t="s">
        <v>78</v>
      </c>
      <c r="C18" s="22" t="n">
        <f aca="false">SUM(C13:C17)</f>
        <v>6</v>
      </c>
      <c r="D18" s="22" t="n">
        <f aca="false">SUM(D13:D17)</f>
        <v>37</v>
      </c>
      <c r="E18" s="22" t="n">
        <f aca="false">SUM(E13:E17)</f>
        <v>345</v>
      </c>
      <c r="F18" s="22" t="n">
        <f aca="false">SUM(F13:F17)</f>
        <v>2577</v>
      </c>
      <c r="G18" s="22" t="n">
        <f aca="false">SUM(G13:G17)</f>
        <v>4025</v>
      </c>
    </row>
    <row r="19" customFormat="false" ht="6" hidden="false" customHeight="true" outlineLevel="0" collapsed="false"/>
    <row r="20" customFormat="false" ht="15" hidden="false" customHeight="true" outlineLevel="0" collapsed="false">
      <c r="A20" s="23" t="s">
        <v>79</v>
      </c>
      <c r="C20" s="24" t="n">
        <f aca="false">C10+C18</f>
        <v>7</v>
      </c>
      <c r="D20" s="24" t="n">
        <f aca="false">D10+D18</f>
        <v>54</v>
      </c>
      <c r="E20" s="24" t="n">
        <f aca="false">E10+E18</f>
        <v>406</v>
      </c>
      <c r="F20" s="24" t="n">
        <f aca="false">F10+F18</f>
        <v>2689</v>
      </c>
      <c r="G20" s="24" t="n">
        <f aca="false">G10+G18</f>
        <v>4233</v>
      </c>
    </row>
    <row r="21" customFormat="false" ht="6" hidden="false" customHeight="true" outlineLevel="0" collapsed="false"/>
    <row r="22" customFormat="false" ht="18" hidden="false" customHeight="true" outlineLevel="0" collapsed="false">
      <c r="A22" s="17" t="s">
        <v>80</v>
      </c>
      <c r="B22" s="17"/>
      <c r="C22" s="17"/>
      <c r="D22" s="17"/>
      <c r="E22" s="17"/>
      <c r="F22" s="17"/>
      <c r="G22" s="17"/>
    </row>
    <row r="23" customFormat="false" ht="15" hidden="false" customHeight="true" outlineLevel="0" collapsed="false">
      <c r="A23" s="18" t="s">
        <v>81</v>
      </c>
      <c r="C23" s="20" t="n">
        <v>5</v>
      </c>
      <c r="D23" s="20" t="n">
        <v>5</v>
      </c>
      <c r="E23" s="20" t="n">
        <v>5</v>
      </c>
      <c r="F23" s="20" t="n">
        <v>5</v>
      </c>
      <c r="G23" s="20" t="n">
        <v>5</v>
      </c>
    </row>
    <row r="24" customFormat="false" ht="15" hidden="false" customHeight="true" outlineLevel="0" collapsed="false">
      <c r="A24" s="18" t="s">
        <v>82</v>
      </c>
      <c r="C24" s="20"/>
      <c r="D24" s="20" t="n">
        <v>40</v>
      </c>
      <c r="E24" s="20" t="n">
        <v>305</v>
      </c>
      <c r="F24" s="20" t="n">
        <v>305</v>
      </c>
      <c r="G24" s="20" t="n">
        <v>3305</v>
      </c>
    </row>
    <row r="25" customFormat="false" ht="15" hidden="false" customHeight="true" outlineLevel="0" collapsed="false">
      <c r="A25" s="18" t="s">
        <v>83</v>
      </c>
      <c r="C25" s="20"/>
      <c r="D25" s="20" t="n">
        <v>-22</v>
      </c>
      <c r="E25" s="20" t="n">
        <v>-195</v>
      </c>
      <c r="F25" s="20" t="n">
        <v>-935</v>
      </c>
      <c r="G25" s="20" t="n">
        <v>-1735</v>
      </c>
    </row>
    <row r="26" customFormat="false" ht="15" hidden="false" customHeight="true" outlineLevel="0" collapsed="false">
      <c r="A26" s="21" t="s">
        <v>84</v>
      </c>
      <c r="C26" s="22" t="n">
        <f aca="false">SUM(C23:C25)</f>
        <v>5</v>
      </c>
      <c r="D26" s="22" t="n">
        <f aca="false">SUM(D23:D25)</f>
        <v>23</v>
      </c>
      <c r="E26" s="22" t="n">
        <f aca="false">SUM(E23:E25)</f>
        <v>115</v>
      </c>
      <c r="F26" s="22" t="n">
        <f aca="false">SUM(F23:F25)</f>
        <v>-625</v>
      </c>
      <c r="G26" s="22" t="n">
        <f aca="false">SUM(G23:G25)</f>
        <v>1575</v>
      </c>
    </row>
    <row r="27" customFormat="false" ht="6" hidden="false" customHeight="true" outlineLevel="0" collapsed="false"/>
    <row r="28" customFormat="false" ht="18" hidden="false" customHeight="true" outlineLevel="0" collapsed="false">
      <c r="A28" s="17" t="s">
        <v>85</v>
      </c>
      <c r="B28" s="17"/>
      <c r="C28" s="17"/>
      <c r="D28" s="17"/>
      <c r="E28" s="17"/>
      <c r="F28" s="17"/>
      <c r="G28" s="17"/>
    </row>
    <row r="29" customFormat="false" ht="15" hidden="false" customHeight="true" outlineLevel="0" collapsed="false">
      <c r="A29" s="18" t="s">
        <v>86</v>
      </c>
      <c r="C29" s="20"/>
      <c r="D29" s="20" t="n">
        <v>2</v>
      </c>
      <c r="E29" s="20" t="n">
        <v>6</v>
      </c>
      <c r="F29" s="20" t="n">
        <v>9</v>
      </c>
      <c r="G29" s="20" t="n">
        <v>15</v>
      </c>
    </row>
    <row r="30" customFormat="false" ht="15" hidden="false" customHeight="true" outlineLevel="0" collapsed="false">
      <c r="A30" s="18" t="s">
        <v>87</v>
      </c>
      <c r="C30" s="20"/>
      <c r="D30" s="20"/>
      <c r="E30" s="20"/>
      <c r="F30" s="20"/>
      <c r="G30" s="20"/>
    </row>
    <row r="31" customFormat="false" ht="15" hidden="false" customHeight="true" outlineLevel="0" collapsed="false">
      <c r="A31" s="21" t="s">
        <v>88</v>
      </c>
      <c r="C31" s="22" t="n">
        <f aca="false">SUM(C29:C30)</f>
        <v>0</v>
      </c>
      <c r="D31" s="22" t="n">
        <f aca="false">SUM(D29:D30)</f>
        <v>2</v>
      </c>
      <c r="E31" s="22" t="n">
        <f aca="false">SUM(E29:E30)</f>
        <v>6</v>
      </c>
      <c r="F31" s="22" t="n">
        <f aca="false">SUM(F29:F30)</f>
        <v>9</v>
      </c>
      <c r="G31" s="22" t="n">
        <f aca="false">SUM(G29:G30)</f>
        <v>15</v>
      </c>
    </row>
    <row r="32" customFormat="false" ht="6" hidden="false" customHeight="true" outlineLevel="0" collapsed="false"/>
    <row r="33" customFormat="false" ht="18" hidden="false" customHeight="true" outlineLevel="0" collapsed="false">
      <c r="A33" s="17" t="s">
        <v>89</v>
      </c>
      <c r="B33" s="17"/>
      <c r="C33" s="17"/>
      <c r="D33" s="17"/>
      <c r="E33" s="17"/>
      <c r="F33" s="17"/>
      <c r="G33" s="17"/>
    </row>
    <row r="34" customFormat="false" ht="15" hidden="false" customHeight="true" outlineLevel="0" collapsed="false">
      <c r="A34" s="18" t="s">
        <v>90</v>
      </c>
      <c r="C34" s="20"/>
      <c r="D34" s="20" t="n">
        <v>4</v>
      </c>
      <c r="E34" s="20" t="n">
        <v>12</v>
      </c>
      <c r="F34" s="20" t="n">
        <v>30</v>
      </c>
      <c r="G34" s="20" t="n">
        <v>80</v>
      </c>
    </row>
    <row r="35" customFormat="false" ht="15" hidden="false" customHeight="true" outlineLevel="0" collapsed="false">
      <c r="A35" s="18" t="s">
        <v>91</v>
      </c>
      <c r="C35" s="20" t="n">
        <v>1</v>
      </c>
      <c r="D35" s="20" t="n">
        <v>3</v>
      </c>
      <c r="E35" s="20" t="n">
        <v>10</v>
      </c>
      <c r="F35" s="20" t="n">
        <v>25</v>
      </c>
      <c r="G35" s="20" t="n">
        <v>70</v>
      </c>
    </row>
    <row r="36" customFormat="false" ht="15" hidden="false" customHeight="true" outlineLevel="0" collapsed="false">
      <c r="A36" s="18" t="s">
        <v>92</v>
      </c>
      <c r="C36" s="20"/>
      <c r="D36" s="20" t="n">
        <v>1</v>
      </c>
      <c r="E36" s="20" t="n">
        <v>3</v>
      </c>
      <c r="F36" s="20" t="n">
        <v>8</v>
      </c>
      <c r="G36" s="20" t="n">
        <v>20</v>
      </c>
    </row>
    <row r="37" customFormat="false" ht="15" hidden="false" customHeight="true" outlineLevel="0" collapsed="false">
      <c r="A37" s="18" t="s">
        <v>93</v>
      </c>
      <c r="C37" s="20"/>
      <c r="D37" s="20"/>
      <c r="E37" s="20" t="n">
        <v>5</v>
      </c>
      <c r="F37" s="20" t="n">
        <v>15</v>
      </c>
      <c r="G37" s="20" t="n">
        <v>35</v>
      </c>
    </row>
    <row r="38" customFormat="false" ht="15" hidden="false" customHeight="true" outlineLevel="0" collapsed="false">
      <c r="A38" s="18" t="s">
        <v>94</v>
      </c>
      <c r="C38" s="20"/>
      <c r="D38" s="20" t="n">
        <v>1</v>
      </c>
      <c r="E38" s="20" t="n">
        <v>2</v>
      </c>
      <c r="F38" s="20" t="n">
        <v>3</v>
      </c>
      <c r="G38" s="20" t="n">
        <v>5</v>
      </c>
    </row>
    <row r="39" customFormat="false" ht="15" hidden="false" customHeight="true" outlineLevel="0" collapsed="false">
      <c r="A39" s="18" t="s">
        <v>95</v>
      </c>
      <c r="C39" s="20"/>
      <c r="D39" s="20" t="n">
        <v>2</v>
      </c>
      <c r="E39" s="20" t="n">
        <v>5</v>
      </c>
      <c r="F39" s="20" t="n">
        <v>10</v>
      </c>
      <c r="G39" s="20" t="n">
        <v>20</v>
      </c>
    </row>
    <row r="40" customFormat="false" ht="15" hidden="false" customHeight="true" outlineLevel="0" collapsed="false">
      <c r="A40" s="21" t="s">
        <v>96</v>
      </c>
      <c r="C40" s="22" t="n">
        <f aca="false">SUM(C34:C39)</f>
        <v>1</v>
      </c>
      <c r="D40" s="22" t="n">
        <f aca="false">SUM(D34:D39)</f>
        <v>11</v>
      </c>
      <c r="E40" s="22" t="n">
        <f aca="false">SUM(E34:E39)</f>
        <v>37</v>
      </c>
      <c r="F40" s="22" t="n">
        <f aca="false">SUM(F34:F39)</f>
        <v>91</v>
      </c>
      <c r="G40" s="22" t="n">
        <f aca="false">SUM(G34:G39)</f>
        <v>230</v>
      </c>
    </row>
    <row r="41" customFormat="false" ht="6" hidden="false" customHeight="true" outlineLevel="0" collapsed="false"/>
    <row r="42" customFormat="false" ht="15" hidden="false" customHeight="true" outlineLevel="0" collapsed="false">
      <c r="A42" s="23" t="s">
        <v>97</v>
      </c>
      <c r="C42" s="24" t="n">
        <f aca="false">C26+C31+C40</f>
        <v>6</v>
      </c>
      <c r="D42" s="24" t="n">
        <f aca="false">D26+D31+D40</f>
        <v>36</v>
      </c>
      <c r="E42" s="24" t="n">
        <f aca="false">E26+E31+E40</f>
        <v>158</v>
      </c>
      <c r="F42" s="24" t="n">
        <f aca="false">F26+F31+F40</f>
        <v>-525</v>
      </c>
      <c r="G42" s="24" t="n">
        <f aca="false">G26+G31+G40</f>
        <v>1820</v>
      </c>
    </row>
    <row r="43" customFormat="false" ht="6" hidden="false" customHeight="true" outlineLevel="0" collapsed="false"/>
    <row r="44" customFormat="false" ht="15" hidden="false" customHeight="true" outlineLevel="0" collapsed="false">
      <c r="A44" s="29" t="s">
        <v>98</v>
      </c>
      <c r="C44" s="30" t="str">
        <f aca="false">IF(ABS(C20-C42)&lt;1,"✓ Balanced","✗ CHECK")</f>
        <v>✗ CHECK</v>
      </c>
      <c r="D44" s="30" t="str">
        <f aca="false">IF(ABS(D20-D42)&lt;1,"✓ Balanced","✗ CHECK")</f>
        <v>✗ CHECK</v>
      </c>
      <c r="E44" s="30" t="str">
        <f aca="false">IF(ABS(E20-E42)&lt;1,"✓ Balanced","✗ CHECK")</f>
        <v>✗ CHECK</v>
      </c>
      <c r="F44" s="30" t="str">
        <f aca="false">IF(ABS(F20-F42)&lt;1,"✓ Balanced","✗ CHECK")</f>
        <v>✗ CHECK</v>
      </c>
      <c r="G44" s="30" t="str">
        <f aca="false">IF(ABS(G20-G42)&lt;1,"✓ Balanced","✗ CHECK")</f>
        <v>✗ CHECK</v>
      </c>
    </row>
    <row r="45" customFormat="false" ht="6" hidden="false" customHeight="true" outlineLevel="0" collapsed="false"/>
    <row r="46" customFormat="false" ht="15" hidden="false" customHeight="true" outlineLevel="0" collapsed="false">
      <c r="A46" s="28" t="s">
        <v>99</v>
      </c>
      <c r="B46" s="28"/>
      <c r="C46" s="28"/>
      <c r="D46" s="28"/>
      <c r="E46" s="28"/>
      <c r="F46" s="28"/>
      <c r="G46" s="28"/>
    </row>
    <row r="47" customFormat="false" ht="15" hidden="false" customHeight="true" outlineLevel="0" collapsed="false">
      <c r="A47" s="28" t="s">
        <v>63</v>
      </c>
      <c r="B47" s="28"/>
      <c r="C47" s="28"/>
      <c r="D47" s="28"/>
      <c r="E47" s="28"/>
      <c r="F47" s="28"/>
      <c r="G47" s="28"/>
    </row>
  </sheetData>
  <mergeCells count="9">
    <mergeCell ref="A1:G1"/>
    <mergeCell ref="A2:G2"/>
    <mergeCell ref="A5:G5"/>
    <mergeCell ref="A12:G12"/>
    <mergeCell ref="A22:G22"/>
    <mergeCell ref="A28:G28"/>
    <mergeCell ref="A33:G33"/>
    <mergeCell ref="A46:G46"/>
    <mergeCell ref="A47:G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3"/>
    <col collapsed="false" customWidth="true" hidden="false" outlineLevel="0" max="7" min="3" style="1" width="13"/>
  </cols>
  <sheetData>
    <row r="1" customFormat="false" ht="21.75" hidden="false" customHeight="true" outlineLevel="0" collapsed="false">
      <c r="A1" s="13" t="s">
        <v>100</v>
      </c>
      <c r="B1" s="13"/>
      <c r="C1" s="13"/>
      <c r="D1" s="13"/>
      <c r="E1" s="13"/>
      <c r="F1" s="13"/>
      <c r="G1" s="13"/>
    </row>
    <row r="2" customFormat="false" ht="15" hidden="false" customHeight="true" outlineLevel="0" collapsed="false">
      <c r="A2" s="14" t="s">
        <v>21</v>
      </c>
      <c r="B2" s="14"/>
      <c r="C2" s="14"/>
      <c r="D2" s="14"/>
      <c r="E2" s="14"/>
      <c r="F2" s="14"/>
      <c r="G2" s="14"/>
    </row>
    <row r="3" customFormat="false" ht="6" hidden="false" customHeight="true" outlineLevel="0" collapsed="false"/>
    <row r="4" customFormat="false" ht="27.75" hidden="false" customHeight="true" outlineLevel="0" collapsed="false">
      <c r="A4" s="5"/>
      <c r="B4" s="15" t="s">
        <v>22</v>
      </c>
      <c r="C4" s="5" t="s">
        <v>23</v>
      </c>
      <c r="D4" s="5" t="s">
        <v>24</v>
      </c>
      <c r="E4" s="5" t="s">
        <v>25</v>
      </c>
      <c r="F4" s="16" t="s">
        <v>26</v>
      </c>
      <c r="G4" s="16" t="s">
        <v>27</v>
      </c>
    </row>
    <row r="5" customFormat="false" ht="18" hidden="false" customHeight="true" outlineLevel="0" collapsed="false">
      <c r="A5" s="17" t="s">
        <v>101</v>
      </c>
      <c r="B5" s="17"/>
      <c r="C5" s="17"/>
      <c r="D5" s="17"/>
      <c r="E5" s="17"/>
      <c r="F5" s="17"/>
      <c r="G5" s="17"/>
    </row>
    <row r="6" customFormat="false" ht="15" hidden="false" customHeight="true" outlineLevel="0" collapsed="false">
      <c r="A6" s="18" t="s">
        <v>102</v>
      </c>
      <c r="C6" s="31" t="n">
        <f aca="false">'P&amp;L Statement'!C36</f>
        <v>-22</v>
      </c>
      <c r="D6" s="31" t="n">
        <f aca="false">'P&amp;L Statement'!D36</f>
        <v>-73</v>
      </c>
      <c r="E6" s="31" t="n">
        <f aca="false">'P&amp;L Statement'!E36</f>
        <v>-244</v>
      </c>
      <c r="F6" s="31" t="n">
        <f aca="false">'P&amp;L Statement'!F36</f>
        <v>-879</v>
      </c>
      <c r="G6" s="31" t="n">
        <f aca="false">'P&amp;L Statement'!G36</f>
        <v>-846</v>
      </c>
    </row>
    <row r="7" customFormat="false" ht="15" hidden="false" customHeight="true" outlineLevel="0" collapsed="false">
      <c r="A7" s="18" t="s">
        <v>103</v>
      </c>
      <c r="C7" s="20" t="n">
        <v>1</v>
      </c>
      <c r="D7" s="20" t="n">
        <v>4</v>
      </c>
      <c r="E7" s="20" t="n">
        <v>10</v>
      </c>
      <c r="F7" s="20" t="n">
        <v>40</v>
      </c>
      <c r="G7" s="20" t="n">
        <v>60</v>
      </c>
    </row>
    <row r="8" customFormat="false" ht="15" hidden="false" customHeight="true" outlineLevel="0" collapsed="false">
      <c r="A8" s="18" t="s">
        <v>104</v>
      </c>
      <c r="C8" s="20"/>
      <c r="D8" s="20" t="n">
        <v>-2</v>
      </c>
      <c r="E8" s="20" t="n">
        <v>-10</v>
      </c>
      <c r="F8" s="20" t="n">
        <v>-33</v>
      </c>
      <c r="G8" s="20" t="n">
        <v>-168</v>
      </c>
    </row>
    <row r="9" customFormat="false" ht="15" hidden="false" customHeight="true" outlineLevel="0" collapsed="false">
      <c r="A9" s="18" t="s">
        <v>105</v>
      </c>
      <c r="C9" s="20"/>
      <c r="D9" s="20" t="n">
        <v>-10</v>
      </c>
      <c r="E9" s="20" t="n">
        <v>-20</v>
      </c>
      <c r="F9" s="20" t="n">
        <v>-50</v>
      </c>
      <c r="G9" s="20" t="n">
        <v>-120</v>
      </c>
    </row>
    <row r="10" customFormat="false" ht="15" hidden="false" customHeight="true" outlineLevel="0" collapsed="false">
      <c r="A10" s="18" t="s">
        <v>106</v>
      </c>
      <c r="C10" s="20" t="n">
        <v>-1</v>
      </c>
      <c r="D10" s="20" t="n">
        <v>-1</v>
      </c>
      <c r="E10" s="20" t="n">
        <v>-3</v>
      </c>
      <c r="F10" s="20" t="n">
        <v>-7</v>
      </c>
      <c r="G10" s="20" t="n">
        <v>-13</v>
      </c>
    </row>
    <row r="11" customFormat="false" ht="15" hidden="false" customHeight="true" outlineLevel="0" collapsed="false">
      <c r="A11" s="18" t="s">
        <v>107</v>
      </c>
      <c r="C11" s="20"/>
      <c r="D11" s="20" t="n">
        <v>4</v>
      </c>
      <c r="E11" s="20" t="n">
        <v>8</v>
      </c>
      <c r="F11" s="20" t="n">
        <v>18</v>
      </c>
      <c r="G11" s="20" t="n">
        <v>68</v>
      </c>
    </row>
    <row r="12" customFormat="false" ht="15" hidden="false" customHeight="true" outlineLevel="0" collapsed="false">
      <c r="A12" s="18" t="s">
        <v>108</v>
      </c>
      <c r="C12" s="20" t="n">
        <v>1</v>
      </c>
      <c r="D12" s="20" t="n">
        <v>2</v>
      </c>
      <c r="E12" s="20" t="n">
        <v>7</v>
      </c>
      <c r="F12" s="20" t="n">
        <v>15</v>
      </c>
      <c r="G12" s="20" t="n">
        <v>45</v>
      </c>
    </row>
    <row r="13" customFormat="false" ht="15" hidden="false" customHeight="true" outlineLevel="0" collapsed="false">
      <c r="A13" s="18" t="s">
        <v>109</v>
      </c>
      <c r="C13" s="20"/>
      <c r="D13" s="20" t="n">
        <v>3</v>
      </c>
      <c r="E13" s="20" t="n">
        <v>7</v>
      </c>
      <c r="F13" s="20" t="n">
        <v>13</v>
      </c>
      <c r="G13" s="20" t="n">
        <v>30</v>
      </c>
    </row>
    <row r="14" customFormat="false" ht="15" hidden="false" customHeight="true" outlineLevel="0" collapsed="false">
      <c r="A14" s="21" t="s">
        <v>110</v>
      </c>
      <c r="C14" s="22" t="n">
        <f aca="false">SUM(C6:C13)</f>
        <v>-21</v>
      </c>
      <c r="D14" s="22" t="n">
        <f aca="false">SUM(D6:D13)</f>
        <v>-73</v>
      </c>
      <c r="E14" s="22" t="n">
        <f aca="false">SUM(E6:E13)</f>
        <v>-245</v>
      </c>
      <c r="F14" s="22" t="n">
        <f aca="false">SUM(F6:F13)</f>
        <v>-883</v>
      </c>
      <c r="G14" s="22" t="n">
        <f aca="false">SUM(G6:G13)</f>
        <v>-944</v>
      </c>
    </row>
    <row r="15" customFormat="false" ht="6" hidden="false" customHeight="true" outlineLevel="0" collapsed="false"/>
    <row r="16" customFormat="false" ht="18" hidden="false" customHeight="true" outlineLevel="0" collapsed="false">
      <c r="A16" s="17" t="s">
        <v>111</v>
      </c>
      <c r="B16" s="17"/>
      <c r="C16" s="17"/>
      <c r="D16" s="17"/>
      <c r="E16" s="17"/>
      <c r="F16" s="17"/>
      <c r="G16" s="17"/>
    </row>
    <row r="17" customFormat="false" ht="15" hidden="false" customHeight="true" outlineLevel="0" collapsed="false">
      <c r="A17" s="18" t="s">
        <v>112</v>
      </c>
      <c r="C17" s="20"/>
      <c r="D17" s="20" t="n">
        <v>-6</v>
      </c>
      <c r="E17" s="20" t="n">
        <v>-25</v>
      </c>
      <c r="F17" s="20" t="n">
        <v>-45</v>
      </c>
      <c r="G17" s="20" t="n">
        <v>-100</v>
      </c>
    </row>
    <row r="18" customFormat="false" ht="15" hidden="false" customHeight="true" outlineLevel="0" collapsed="false">
      <c r="A18" s="18" t="s">
        <v>113</v>
      </c>
      <c r="C18" s="20"/>
      <c r="D18" s="20" t="n">
        <v>-9</v>
      </c>
      <c r="E18" s="20" t="n">
        <v>-20</v>
      </c>
      <c r="F18" s="20" t="n">
        <v>-30</v>
      </c>
      <c r="G18" s="20" t="n">
        <v>-40</v>
      </c>
    </row>
    <row r="19" customFormat="false" ht="15" hidden="false" customHeight="true" outlineLevel="0" collapsed="false">
      <c r="A19" s="18" t="s">
        <v>114</v>
      </c>
      <c r="C19" s="20" t="n">
        <v>-1</v>
      </c>
      <c r="D19" s="20" t="n">
        <v>-1</v>
      </c>
      <c r="E19" s="20" t="n">
        <v>-2</v>
      </c>
      <c r="F19" s="20" t="n">
        <v>-2</v>
      </c>
      <c r="G19" s="20" t="n">
        <v>-3</v>
      </c>
    </row>
    <row r="20" customFormat="false" ht="15" hidden="false" customHeight="true" outlineLevel="0" collapsed="false">
      <c r="A20" s="21" t="s">
        <v>115</v>
      </c>
      <c r="C20" s="22" t="n">
        <f aca="false">SUM(C17:C19)</f>
        <v>-1</v>
      </c>
      <c r="D20" s="22" t="n">
        <f aca="false">SUM(D17:D19)</f>
        <v>-16</v>
      </c>
      <c r="E20" s="22" t="n">
        <f aca="false">SUM(E17:E19)</f>
        <v>-47</v>
      </c>
      <c r="F20" s="22" t="n">
        <f aca="false">SUM(F17:F19)</f>
        <v>-77</v>
      </c>
      <c r="G20" s="22" t="n">
        <f aca="false">SUM(G17:G19)</f>
        <v>-143</v>
      </c>
    </row>
    <row r="21" customFormat="false" ht="6" hidden="false" customHeight="true" outlineLevel="0" collapsed="false"/>
    <row r="22" customFormat="false" ht="18" hidden="false" customHeight="true" outlineLevel="0" collapsed="false">
      <c r="A22" s="17" t="s">
        <v>116</v>
      </c>
      <c r="B22" s="17"/>
      <c r="C22" s="17"/>
      <c r="D22" s="17"/>
      <c r="E22" s="17"/>
      <c r="F22" s="17"/>
      <c r="G22" s="17"/>
    </row>
    <row r="23" customFormat="false" ht="15" hidden="false" customHeight="true" outlineLevel="0" collapsed="false">
      <c r="A23" s="18" t="s">
        <v>117</v>
      </c>
      <c r="C23" s="20" t="n">
        <v>5</v>
      </c>
      <c r="D23" s="20" t="n">
        <v>45</v>
      </c>
      <c r="E23" s="20" t="n">
        <v>305</v>
      </c>
      <c r="F23" s="20"/>
      <c r="G23" s="20" t="n">
        <v>3000</v>
      </c>
    </row>
    <row r="24" customFormat="false" ht="15" hidden="false" customHeight="true" outlineLevel="0" collapsed="false">
      <c r="A24" s="18" t="s">
        <v>118</v>
      </c>
      <c r="C24" s="20"/>
      <c r="D24" s="20" t="n">
        <v>-1</v>
      </c>
      <c r="E24" s="20" t="n">
        <v>-2</v>
      </c>
      <c r="F24" s="20" t="n">
        <v>-3</v>
      </c>
      <c r="G24" s="20" t="n">
        <v>-5</v>
      </c>
    </row>
    <row r="25" customFormat="false" ht="15" hidden="false" customHeight="true" outlineLevel="0" collapsed="false">
      <c r="A25" s="18" t="s">
        <v>119</v>
      </c>
      <c r="C25" s="20" t="n">
        <v>5</v>
      </c>
      <c r="D25" s="20"/>
      <c r="E25" s="20"/>
      <c r="F25" s="20"/>
      <c r="G25" s="20"/>
    </row>
    <row r="26" customFormat="false" ht="15" hidden="false" customHeight="true" outlineLevel="0" collapsed="false">
      <c r="A26" s="21" t="s">
        <v>120</v>
      </c>
      <c r="C26" s="22" t="n">
        <f aca="false">SUM(C23:C25)</f>
        <v>10</v>
      </c>
      <c r="D26" s="22" t="n">
        <f aca="false">SUM(D23:D25)</f>
        <v>44</v>
      </c>
      <c r="E26" s="22" t="n">
        <f aca="false">SUM(E23:E25)</f>
        <v>303</v>
      </c>
      <c r="F26" s="22" t="n">
        <f aca="false">SUM(F23:F25)</f>
        <v>-3</v>
      </c>
      <c r="G26" s="22" t="n">
        <f aca="false">SUM(G23:G25)</f>
        <v>2995</v>
      </c>
    </row>
    <row r="27" customFormat="false" ht="6" hidden="false" customHeight="true" outlineLevel="0" collapsed="false"/>
    <row r="28" customFormat="false" ht="15" hidden="false" customHeight="true" outlineLevel="0" collapsed="false">
      <c r="A28" s="23" t="s">
        <v>121</v>
      </c>
      <c r="C28" s="24" t="n">
        <f aca="false">C14+C20+C26</f>
        <v>-12</v>
      </c>
      <c r="D28" s="24" t="n">
        <f aca="false">D14+D20+D26</f>
        <v>-45</v>
      </c>
      <c r="E28" s="24" t="n">
        <f aca="false">E14+E20+E26</f>
        <v>11</v>
      </c>
      <c r="F28" s="24" t="n">
        <f aca="false">F14+F20+F26</f>
        <v>-963</v>
      </c>
      <c r="G28" s="24" t="n">
        <f aca="false">G14+G20+G26</f>
        <v>1908</v>
      </c>
    </row>
    <row r="29" customFormat="false" ht="15" hidden="false" customHeight="true" outlineLevel="0" collapsed="false">
      <c r="A29" s="18" t="s">
        <v>122</v>
      </c>
      <c r="C29" s="20"/>
      <c r="D29" s="20" t="n">
        <v>5</v>
      </c>
      <c r="E29" s="20" t="n">
        <v>20</v>
      </c>
      <c r="F29" s="20" t="n">
        <v>290</v>
      </c>
      <c r="G29" s="20" t="n">
        <v>2420</v>
      </c>
    </row>
    <row r="30" customFormat="false" ht="15" hidden="false" customHeight="true" outlineLevel="0" collapsed="false">
      <c r="A30" s="23" t="s">
        <v>123</v>
      </c>
      <c r="C30" s="24" t="n">
        <f aca="false">C29+C28</f>
        <v>-12</v>
      </c>
      <c r="D30" s="24" t="n">
        <f aca="false">D29+D28</f>
        <v>-40</v>
      </c>
      <c r="E30" s="24" t="n">
        <f aca="false">E29+E28</f>
        <v>31</v>
      </c>
      <c r="F30" s="24" t="n">
        <f aca="false">F29+F28</f>
        <v>-673</v>
      </c>
      <c r="G30" s="24" t="n">
        <f aca="false">G29+G28</f>
        <v>4328</v>
      </c>
    </row>
    <row r="31" customFormat="false" ht="6" hidden="false" customHeight="true" outlineLevel="0" collapsed="false"/>
    <row r="32" customFormat="false" ht="15" hidden="false" customHeight="true" outlineLevel="0" collapsed="false">
      <c r="A32" s="29" t="s">
        <v>124</v>
      </c>
      <c r="C32" s="30" t="str">
        <f aca="false">IF(ABS(C30-'Balance Sheet'!C13)&lt;1,"✓ Match","✗ CHECK")</f>
        <v>✗ CHECK</v>
      </c>
      <c r="D32" s="30" t="str">
        <f aca="false">IF(ABS(D30-'Balance Sheet'!D13)&lt;1,"✓ Match","✗ CHECK")</f>
        <v>✗ CHECK</v>
      </c>
      <c r="E32" s="30" t="str">
        <f aca="false">IF(ABS(E30-'Balance Sheet'!E13)&lt;1,"✓ Match","✗ CHECK")</f>
        <v>✗ CHECK</v>
      </c>
      <c r="F32" s="30" t="str">
        <f aca="false">IF(ABS(F30-'Balance Sheet'!F13)&lt;1,"✓ Match","✗ CHECK")</f>
        <v>✗ CHECK</v>
      </c>
      <c r="G32" s="30" t="str">
        <f aca="false">IF(ABS(G30-'Balance Sheet'!G13)&lt;1,"✓ Match","✗ CHECK")</f>
        <v>✗ CHECK</v>
      </c>
    </row>
    <row r="33" customFormat="false" ht="6" hidden="false" customHeight="true" outlineLevel="0" collapsed="false"/>
    <row r="34" customFormat="false" ht="15" hidden="false" customHeight="true" outlineLevel="0" collapsed="false">
      <c r="A34" s="28" t="s">
        <v>125</v>
      </c>
      <c r="B34" s="28"/>
      <c r="C34" s="28"/>
      <c r="D34" s="28"/>
      <c r="E34" s="28"/>
      <c r="F34" s="28"/>
      <c r="G34" s="28"/>
    </row>
    <row r="35" customFormat="false" ht="15" hidden="false" customHeight="true" outlineLevel="0" collapsed="false">
      <c r="A35" s="28" t="s">
        <v>126</v>
      </c>
      <c r="B35" s="28"/>
      <c r="C35" s="28"/>
      <c r="D35" s="28"/>
      <c r="E35" s="28"/>
      <c r="F35" s="28"/>
      <c r="G35" s="28"/>
    </row>
  </sheetData>
  <mergeCells count="7">
    <mergeCell ref="A1:G1"/>
    <mergeCell ref="A2:G2"/>
    <mergeCell ref="A5:G5"/>
    <mergeCell ref="A16:G16"/>
    <mergeCell ref="A22:G22"/>
    <mergeCell ref="A34:G34"/>
    <mergeCell ref="A35:G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3"/>
    <col collapsed="false" customWidth="true" hidden="false" outlineLevel="0" max="7" min="3" style="1" width="14"/>
  </cols>
  <sheetData>
    <row r="1" customFormat="false" ht="21.75" hidden="false" customHeight="true" outlineLevel="0" collapsed="false">
      <c r="A1" s="13" t="s">
        <v>127</v>
      </c>
      <c r="B1" s="13"/>
      <c r="C1" s="13"/>
      <c r="D1" s="13"/>
      <c r="E1" s="13"/>
      <c r="F1" s="13"/>
      <c r="G1" s="13"/>
    </row>
    <row r="2" customFormat="false" ht="6" hidden="false" customHeight="true" outlineLevel="0" collapsed="false"/>
    <row r="3" customFormat="false" ht="15" hidden="false" customHeight="true" outlineLevel="0" collapsed="false">
      <c r="A3" s="5"/>
      <c r="B3" s="15"/>
      <c r="C3" s="5" t="s">
        <v>23</v>
      </c>
      <c r="D3" s="5" t="s">
        <v>24</v>
      </c>
      <c r="E3" s="5" t="s">
        <v>25</v>
      </c>
      <c r="F3" s="5" t="s">
        <v>128</v>
      </c>
      <c r="G3" s="5" t="s">
        <v>27</v>
      </c>
    </row>
    <row r="4" customFormat="false" ht="27.75" hidden="false" customHeight="true" outlineLevel="0" collapsed="false">
      <c r="A4" s="32" t="s">
        <v>129</v>
      </c>
      <c r="F4" s="16" t="s">
        <v>26</v>
      </c>
      <c r="G4" s="16" t="s">
        <v>27</v>
      </c>
    </row>
    <row r="5" customFormat="false" ht="15" hidden="false" customHeight="true" outlineLevel="0" collapsed="false">
      <c r="A5" s="18" t="s">
        <v>130</v>
      </c>
      <c r="C5" s="33" t="n">
        <v>0</v>
      </c>
      <c r="D5" s="33" t="n">
        <v>0</v>
      </c>
      <c r="E5" s="33" t="n">
        <v>3</v>
      </c>
      <c r="F5" s="33" t="n">
        <v>15</v>
      </c>
      <c r="G5" s="33" t="n">
        <v>75</v>
      </c>
    </row>
    <row r="6" customFormat="false" ht="15" hidden="false" customHeight="true" outlineLevel="0" collapsed="false">
      <c r="A6" s="18" t="s">
        <v>131</v>
      </c>
      <c r="C6" s="33" t="n">
        <v>0</v>
      </c>
      <c r="D6" s="33" t="n">
        <v>0</v>
      </c>
      <c r="E6" s="33" t="n">
        <v>1</v>
      </c>
      <c r="F6" s="33" t="n">
        <v>2</v>
      </c>
      <c r="G6" s="33" t="n">
        <v>8</v>
      </c>
    </row>
    <row r="7" customFormat="false" ht="15" hidden="false" customHeight="true" outlineLevel="0" collapsed="false">
      <c r="A7" s="18" t="s">
        <v>132</v>
      </c>
      <c r="C7" s="33" t="n">
        <v>0</v>
      </c>
      <c r="D7" s="33" t="n">
        <v>0</v>
      </c>
      <c r="E7" s="33" t="n">
        <v>3</v>
      </c>
      <c r="F7" s="33" t="n">
        <v>7</v>
      </c>
      <c r="G7" s="33" t="n">
        <v>8</v>
      </c>
    </row>
    <row r="8" customFormat="false" ht="15" hidden="false" customHeight="true" outlineLevel="0" collapsed="false">
      <c r="A8" s="18" t="s">
        <v>133</v>
      </c>
      <c r="C8" s="33"/>
      <c r="D8" s="33"/>
      <c r="E8" s="33"/>
      <c r="F8" s="34" t="n">
        <v>0.3</v>
      </c>
      <c r="G8" s="34" t="n">
        <v>0.55</v>
      </c>
    </row>
    <row r="9" customFormat="false" ht="15" hidden="false" customHeight="true" outlineLevel="0" collapsed="false">
      <c r="A9" s="18" t="s">
        <v>134</v>
      </c>
      <c r="C9" s="33"/>
      <c r="D9" s="33"/>
      <c r="E9" s="33"/>
      <c r="F9" s="33" t="n">
        <v>16</v>
      </c>
      <c r="G9" s="33" t="n">
        <v>17</v>
      </c>
    </row>
    <row r="10" customFormat="false" ht="15" hidden="false" customHeight="true" outlineLevel="0" collapsed="false">
      <c r="A10" s="18" t="s">
        <v>135</v>
      </c>
      <c r="C10" s="33"/>
      <c r="D10" s="33"/>
      <c r="E10" s="33"/>
      <c r="F10" s="34" t="n">
        <v>1.6</v>
      </c>
      <c r="G10" s="34" t="n">
        <v>1.7</v>
      </c>
    </row>
    <row r="11" customFormat="false" ht="15" hidden="false" customHeight="true" outlineLevel="0" collapsed="false">
      <c r="A11" s="18" t="s">
        <v>136</v>
      </c>
      <c r="C11" s="33" t="n">
        <v>2</v>
      </c>
      <c r="D11" s="33" t="n">
        <v>4</v>
      </c>
      <c r="E11" s="33" t="n">
        <v>12</v>
      </c>
      <c r="F11" s="33" t="n">
        <v>45</v>
      </c>
      <c r="G11" s="33" t="n">
        <v>95</v>
      </c>
    </row>
    <row r="13" customFormat="false" ht="6" hidden="false" customHeight="true" outlineLevel="0" collapsed="false"/>
    <row r="14" customFormat="false" ht="18" hidden="false" customHeight="true" outlineLevel="0" collapsed="false">
      <c r="A14" s="17" t="s">
        <v>137</v>
      </c>
      <c r="B14" s="17"/>
      <c r="C14" s="17"/>
      <c r="D14" s="17"/>
      <c r="E14" s="17"/>
      <c r="F14" s="17"/>
      <c r="G14" s="17"/>
    </row>
    <row r="15" customFormat="false" ht="15" hidden="false" customHeight="true" outlineLevel="0" collapsed="false">
      <c r="A15" s="18" t="s">
        <v>138</v>
      </c>
      <c r="C15" s="35" t="n">
        <f aca="false">IF('Balance Sheet'!C40=0,"-",'Balance Sheet'!C18/'Balance Sheet'!C40)</f>
        <v>6</v>
      </c>
      <c r="D15" s="35" t="n">
        <f aca="false">IF('Balance Sheet'!D40=0,"-",'Balance Sheet'!D18/'Balance Sheet'!D40)</f>
        <v>3.36363636363636</v>
      </c>
      <c r="E15" s="35" t="n">
        <f aca="false">IF('Balance Sheet'!E40=0,"-",'Balance Sheet'!E18/'Balance Sheet'!E40)</f>
        <v>9.32432432432433</v>
      </c>
      <c r="F15" s="35" t="n">
        <f aca="false">IF('Balance Sheet'!F40=0,"-",'Balance Sheet'!F18/'Balance Sheet'!F40)</f>
        <v>28.3186813186813</v>
      </c>
      <c r="G15" s="35" t="n">
        <f aca="false">IF('Balance Sheet'!G40=0,"-",'Balance Sheet'!G18/'Balance Sheet'!G40)</f>
        <v>17.5</v>
      </c>
    </row>
    <row r="16" customFormat="false" ht="15" hidden="false" customHeight="true" outlineLevel="0" collapsed="false">
      <c r="A16" s="18" t="s">
        <v>139</v>
      </c>
      <c r="C16" s="31" t="n">
        <f aca="false">'Balance Sheet'!C13</f>
        <v>5</v>
      </c>
      <c r="D16" s="31" t="n">
        <f aca="false">'Balance Sheet'!D13</f>
        <v>20</v>
      </c>
      <c r="E16" s="31" t="n">
        <f aca="false">'Balance Sheet'!E13</f>
        <v>290</v>
      </c>
      <c r="F16" s="31" t="n">
        <f aca="false">'Balance Sheet'!F13</f>
        <v>2420</v>
      </c>
      <c r="G16" s="31" t="n">
        <f aca="false">'Balance Sheet'!G13</f>
        <v>3570</v>
      </c>
    </row>
    <row r="17" customFormat="false" ht="15" hidden="false" customHeight="true" outlineLevel="0" collapsed="false">
      <c r="A17" s="18" t="s">
        <v>140</v>
      </c>
      <c r="C17" s="36" t="n">
        <f aca="false">IF('P&amp;L Statement'!C31&gt;=0,"-",ABS('Balance Sheet'!C13/('P&amp;L Statement'!C31/12)))</f>
        <v>2.72727272727273</v>
      </c>
      <c r="D17" s="36" t="n">
        <f aca="false">IF('P&amp;L Statement'!D31&gt;=0,"-",ABS('Balance Sheet'!D13/('P&amp;L Statement'!D31/12)))</f>
        <v>3.24324324324324</v>
      </c>
      <c r="E17" s="36" t="n">
        <f aca="false">IF('P&amp;L Statement'!E31&gt;=0,"-",ABS('Balance Sheet'!E13/('P&amp;L Statement'!E31/12)))</f>
        <v>14.0322580645161</v>
      </c>
      <c r="F17" s="36" t="n">
        <f aca="false">IF('P&amp;L Statement'!F31&gt;=0,"-",ABS('Balance Sheet'!F13/('P&amp;L Statement'!F31/12)))</f>
        <v>32.3025583982202</v>
      </c>
      <c r="G17" s="36" t="n">
        <f aca="false">IF('P&amp;L Statement'!G31&gt;=0,"-",ABS('Balance Sheet'!G13/('P&amp;L Statement'!G31/12)))</f>
        <v>49.7560975609756</v>
      </c>
    </row>
    <row r="18" customFormat="false" ht="6" hidden="false" customHeight="true" outlineLevel="0" collapsed="false"/>
    <row r="19" customFormat="false" ht="18" hidden="false" customHeight="true" outlineLevel="0" collapsed="false">
      <c r="A19" s="17" t="s">
        <v>141</v>
      </c>
      <c r="B19" s="17"/>
      <c r="C19" s="17"/>
      <c r="D19" s="17"/>
      <c r="E19" s="17"/>
      <c r="F19" s="17"/>
      <c r="G19" s="17"/>
    </row>
    <row r="20" customFormat="false" ht="15" hidden="false" customHeight="true" outlineLevel="0" collapsed="false">
      <c r="A20" s="18" t="s">
        <v>142</v>
      </c>
      <c r="C20" s="37" t="str">
        <f aca="false">'P&amp;L Statement'!C18</f>
        <v>-</v>
      </c>
      <c r="D20" s="37" t="str">
        <f aca="false">'P&amp;L Statement'!D18</f>
        <v>-</v>
      </c>
      <c r="E20" s="37" t="n">
        <f aca="false">'P&amp;L Statement'!E18</f>
        <v>0</v>
      </c>
      <c r="F20" s="37" t="n">
        <f aca="false">'P&amp;L Statement'!F18</f>
        <v>0.38</v>
      </c>
      <c r="G20" s="37" t="n">
        <f aca="false">'P&amp;L Statement'!G18</f>
        <v>0.595833333333333</v>
      </c>
    </row>
    <row r="21" customFormat="false" ht="15" hidden="false" customHeight="true" outlineLevel="0" collapsed="false">
      <c r="A21" s="18" t="s">
        <v>143</v>
      </c>
      <c r="C21" s="37" t="str">
        <f aca="false">'P&amp;L Statement'!C32</f>
        <v>-</v>
      </c>
      <c r="D21" s="37" t="str">
        <f aca="false">'P&amp;L Statement'!D32</f>
        <v>-</v>
      </c>
      <c r="E21" s="37" t="n">
        <f aca="false">'P&amp;L Statement'!E32</f>
        <v>-16.5333333333333</v>
      </c>
      <c r="F21" s="37" t="n">
        <f aca="false">'P&amp;L Statement'!F32</f>
        <v>-3.596</v>
      </c>
      <c r="G21" s="37" t="n">
        <f aca="false">'P&amp;L Statement'!G32</f>
        <v>-0.7175</v>
      </c>
    </row>
    <row r="22" customFormat="false" ht="15" hidden="false" customHeight="true" outlineLevel="0" collapsed="false">
      <c r="A22" s="18" t="s">
        <v>144</v>
      </c>
      <c r="C22" s="37" t="str">
        <f aca="false">'P&amp;L Statement'!C37</f>
        <v>-</v>
      </c>
      <c r="D22" s="37" t="str">
        <f aca="false">'P&amp;L Statement'!D37</f>
        <v>-</v>
      </c>
      <c r="E22" s="37" t="n">
        <f aca="false">'P&amp;L Statement'!E37</f>
        <v>-16.2666666666667</v>
      </c>
      <c r="F22" s="37" t="n">
        <f aca="false">'P&amp;L Statement'!F37</f>
        <v>-3.516</v>
      </c>
      <c r="G22" s="37" t="n">
        <f aca="false">'P&amp;L Statement'!G37</f>
        <v>-0.705</v>
      </c>
    </row>
    <row r="23" customFormat="false" ht="6" hidden="false" customHeight="true" outlineLevel="0" collapsed="false"/>
    <row r="24" customFormat="false" ht="18" hidden="false" customHeight="true" outlineLevel="0" collapsed="false">
      <c r="A24" s="17" t="s">
        <v>145</v>
      </c>
      <c r="B24" s="17"/>
      <c r="C24" s="17"/>
      <c r="D24" s="17"/>
      <c r="E24" s="17"/>
      <c r="F24" s="17"/>
      <c r="G24" s="17"/>
    </row>
    <row r="25" customFormat="false" ht="15" hidden="false" customHeight="true" outlineLevel="0" collapsed="false">
      <c r="A25" s="18" t="s">
        <v>146</v>
      </c>
      <c r="C25" s="35" t="n">
        <f aca="false">IF('Balance Sheet'!C26=0,"-",('Balance Sheet'!C31+'Balance Sheet'!C40)/'Balance Sheet'!C26)</f>
        <v>0.2</v>
      </c>
      <c r="D25" s="35" t="n">
        <f aca="false">IF('Balance Sheet'!D26=0,"-",('Balance Sheet'!D31+'Balance Sheet'!D40)/'Balance Sheet'!D26)</f>
        <v>0.565217391304348</v>
      </c>
      <c r="E25" s="35" t="n">
        <f aca="false">IF('Balance Sheet'!E26=0,"-",('Balance Sheet'!E31+'Balance Sheet'!E40)/'Balance Sheet'!E26)</f>
        <v>0.373913043478261</v>
      </c>
      <c r="F25" s="35" t="n">
        <f aca="false">IF('Balance Sheet'!F26=0,"-",('Balance Sheet'!F31+'Balance Sheet'!F40)/'Balance Sheet'!F26)</f>
        <v>-0.16</v>
      </c>
      <c r="G25" s="35" t="n">
        <f aca="false">IF('Balance Sheet'!G26=0,"-",('Balance Sheet'!G31+'Balance Sheet'!G40)/'Balance Sheet'!G26)</f>
        <v>0.155555555555556</v>
      </c>
    </row>
    <row r="26" customFormat="false" ht="15" hidden="false" customHeight="true" outlineLevel="0" collapsed="false">
      <c r="A26" s="18" t="s">
        <v>147</v>
      </c>
      <c r="C26" s="38" t="str">
        <f aca="false">IF('P&amp;L Statement'!C33=0,"-",'P&amp;L Statement'!C31/'P&amp;L Statement'!C33)</f>
        <v>-</v>
      </c>
      <c r="D26" s="38" t="n">
        <f aca="false">IF('P&amp;L Statement'!D33=0,"-",'P&amp;L Statement'!D31/'P&amp;L Statement'!D33)</f>
        <v>-74</v>
      </c>
      <c r="E26" s="38" t="n">
        <f aca="false">IF('P&amp;L Statement'!E33=0,"-",'P&amp;L Statement'!E31/'P&amp;L Statement'!E33)</f>
        <v>-62</v>
      </c>
      <c r="F26" s="38" t="n">
        <f aca="false">IF('P&amp;L Statement'!F33=0,"-",'P&amp;L Statement'!F31/'P&amp;L Statement'!F33)</f>
        <v>-44.95</v>
      </c>
      <c r="G26" s="38" t="n">
        <f aca="false">IF('P&amp;L Statement'!G33=0,"-",'P&amp;L Statement'!G31/'P&amp;L Statement'!G33)</f>
        <v>-57.4</v>
      </c>
    </row>
    <row r="27" customFormat="false" ht="6" hidden="false" customHeight="true" outlineLevel="0" collapsed="false"/>
    <row r="28" customFormat="false" ht="15" hidden="false" customHeight="true" outlineLevel="0" collapsed="false">
      <c r="A28" s="28" t="s">
        <v>148</v>
      </c>
      <c r="B28" s="28"/>
      <c r="C28" s="28"/>
      <c r="D28" s="28"/>
      <c r="E28" s="28"/>
      <c r="F28" s="28"/>
      <c r="G28" s="28"/>
    </row>
    <row r="29" customFormat="false" ht="15" hidden="false" customHeight="true" outlineLevel="0" collapsed="false">
      <c r="A29" s="28" t="s">
        <v>63</v>
      </c>
      <c r="B29" s="28"/>
      <c r="C29" s="28"/>
      <c r="D29" s="28"/>
      <c r="E29" s="28"/>
      <c r="F29" s="28"/>
      <c r="G29" s="28"/>
    </row>
  </sheetData>
  <mergeCells count="6">
    <mergeCell ref="A1:G1"/>
    <mergeCell ref="A14:G14"/>
    <mergeCell ref="A19:G19"/>
    <mergeCell ref="A24:G24"/>
    <mergeCell ref="A28:G28"/>
    <mergeCell ref="A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2026-06-27T06:00:30Z</dcterms:created>
  <dc:creator>openpyxl</dc:creator>
  <dc:description/>
  <dc:language>en-US</dc:language>
  <cp:lastModifiedBy/>
  <dcterms:modified xsi:type="dcterms:W3CDTF">2026-06-27T06:06:37Z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