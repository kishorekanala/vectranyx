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ardware Resources" sheetId="2" state="visible" r:id="rId4"/>
    <sheet name="Software Resources" sheetId="3" state="visible" r:id="rId5"/>
    <sheet name="Human Capital" sheetId="4" state="visible" r:id="rId6"/>
    <sheet name="Risk Mapping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<sst xmlns="http://schemas.openxmlformats.org/spreadsheetml/2006/main" count="1252" uniqueCount="615">
  <si>
    <t xml:space="preserve">CloudRobotics Co.</t>
  </si>
  <si>
    <t xml:space="preserve">Resource Decomposition</t>
  </si>
  <si>
    <t xml:space="preserve">Hardware  |  Software  |  Human Capital</t>
  </si>
  <si>
    <t xml:space="preserve">Prepared for ECRA System Ingestion  |  June 2026</t>
  </si>
  <si>
    <t xml:space="preserve">Sheet</t>
  </si>
  <si>
    <t xml:space="preserve">Contents</t>
  </si>
  <si>
    <t xml:space="preserve"># Items</t>
  </si>
  <si>
    <t xml:space="preserve">Risk Focus</t>
  </si>
  <si>
    <t xml:space="preserve">Hardware Resources</t>
  </si>
  <si>
    <t xml:space="preserve">Robot body, sensors, compute, connectivity, lab &amp; manufacturing infrastructure</t>
  </si>
  <si>
    <t xml:space="preserve">25</t>
  </si>
  <si>
    <t xml:space="preserve">Supply chain, geopolitics, lead time</t>
  </si>
  <si>
    <t xml:space="preserve">Software Resources</t>
  </si>
  <si>
    <t xml:space="preserve">Cloud platform, firmware, AI/ML, cybersecurity, DevOps, business systems</t>
  </si>
  <si>
    <t xml:space="preserve">27</t>
  </si>
  <si>
    <t xml:space="preserve">Vendor lock-in, export control, data risk</t>
  </si>
  <si>
    <t xml:space="preserve">Human Capital</t>
  </si>
  <si>
    <t xml:space="preserve">Leadership, engineering, sales, CS, ops, finance, advisors</t>
  </si>
  <si>
    <t xml:space="preserve">33</t>
  </si>
  <si>
    <t xml:space="preserve">Talent scarcity, key person, retention</t>
  </si>
  <si>
    <t xml:space="preserve">Risk Mapping Summary</t>
  </si>
  <si>
    <t xml:space="preserve">Consolidated High &amp; Medium risk items — primary ECRA input sheet</t>
  </si>
  <si>
    <t xml:space="preserve">20</t>
  </si>
  <si>
    <t xml:space="preserve">All categories — ECRA ingestion ready</t>
  </si>
  <si>
    <t xml:space="preserve">Red text — HIGH risk item</t>
  </si>
  <si>
    <t xml:space="preserve">Amber text — MEDIUM risk item</t>
  </si>
  <si>
    <t xml:space="preserve">Green text — LOW risk item</t>
  </si>
  <si>
    <t xml:space="preserve">Note: Unit costs are illustrative based on FY2026 market rates. Hardware unit costs reflect per-unit cost at 75-robot production volume. Software costs are annual. Human Capital costs are annual fully-loaded CTC. All figures INR Lakhs.</t>
  </si>
  <si>
    <t xml:space="preserve">CloudRobotics Co. — Resource Decomposition: HARDWARE</t>
  </si>
  <si>
    <t xml:space="preserve">Unit Cost in INR Lakhs  |  Qty = units required across full FY2027 production run (75 robots)  |  For ECRA Risk Mapping</t>
  </si>
  <si>
    <t xml:space="preserve">ID</t>
  </si>
  <si>
    <t xml:space="preserve">Sub-Category</t>
  </si>
  <si>
    <t xml:space="preserve">Resource Name</t>
  </si>
  <si>
    <t xml:space="preserve">Description</t>
  </si>
  <si>
    <t xml:space="preserve">Phase</t>
  </si>
  <si>
    <t xml:space="preserve">Qty</t>
  </si>
  <si>
    <t xml:space="preserve">Unit</t>
  </si>
  <si>
    <t xml:space="preserve">Unit Cost
(INR Lakhs)</t>
  </si>
  <si>
    <t xml:space="preserve">Total Cost
(INR Lakhs)</t>
  </si>
  <si>
    <t xml:space="preserve">Lead Time</t>
  </si>
  <si>
    <t xml:space="preserve">Source / Supplier</t>
  </si>
  <si>
    <t xml:space="preserve">Supply Country</t>
  </si>
  <si>
    <t xml:space="preserve">Risk Level</t>
  </si>
  <si>
    <t xml:space="preserve">Risk Notes</t>
  </si>
  <si>
    <t xml:space="preserve">HW-001</t>
  </si>
  <si>
    <t xml:space="preserve">Robot Body &amp; Frame</t>
  </si>
  <si>
    <t xml:space="preserve">Multi-Axis Robotic Arm (6-DOF)</t>
  </si>
  <si>
    <t xml:space="preserve">6-degree-of-freedom industrial robotic arm — aluminium alloy frame, payload 15 kg, reach 1.2 m. Sourced as base unit from CM partner.</t>
  </si>
  <si>
    <t xml:space="preserve">P1</t>
  </si>
  <si>
    <t xml:space="preserve">75</t>
  </si>
  <si>
    <t xml:space="preserve">Units</t>
  </si>
  <si>
    <t xml:space="preserve">8 weeks</t>
  </si>
  <si>
    <t xml:space="preserve">Precision Auto Components, Pune</t>
  </si>
  <si>
    <t xml:space="preserve">India</t>
  </si>
  <si>
    <t xml:space="preserve">Medium</t>
  </si>
  <si>
    <t xml:space="preserve">Domestic supplier; single-source risk. Qualify backup vendor by Q3 FY2027.</t>
  </si>
  <si>
    <t xml:space="preserve">HW-002</t>
  </si>
  <si>
    <t xml:space="preserve">Modular End-Effector Mount System (patented)</t>
  </si>
  <si>
    <t xml:space="preserve">Patented quick-release mount accepting welding, gripper, rotary-tool, and vision-tool heads. Cast aluminium. Manufactured in-house.</t>
  </si>
  <si>
    <t xml:space="preserve">4 weeks</t>
  </si>
  <si>
    <t xml:space="preserve">In-house manufacture</t>
  </si>
  <si>
    <t xml:space="preserve">Low</t>
  </si>
  <si>
    <t xml:space="preserve">IP owned by company. Tooling already commissioned. Low supply risk.</t>
  </si>
  <si>
    <t xml:space="preserve">HW-003</t>
  </si>
  <si>
    <t xml:space="preserve">Welding End-Effector Head</t>
  </si>
  <si>
    <t xml:space="preserve">MIG/TIG compatible welding torch assembly with integrated wire feed. For Body Assembly task profile.</t>
  </si>
  <si>
    <t xml:space="preserve">50</t>
  </si>
  <si>
    <t xml:space="preserve">6 weeks</t>
  </si>
  <si>
    <t xml:space="preserve">Fronius India Pvt Ltd</t>
  </si>
  <si>
    <t xml:space="preserve">Austria/India</t>
  </si>
  <si>
    <t xml:space="preserve">Established supplier. Dual-source option available (Lincoln Electric).</t>
  </si>
  <si>
    <t xml:space="preserve">HW-004</t>
  </si>
  <si>
    <t xml:space="preserve">Gripper End-Effector Head (adaptive)</t>
  </si>
  <si>
    <t xml:space="preserve">2-finger adaptive gripper, 5 kg grip force, 100 mm stroke. For Pick &amp; Place and Material Handling profiles.</t>
  </si>
  <si>
    <t xml:space="preserve">Robotiq (via India distributor)</t>
  </si>
  <si>
    <t xml:space="preserve">Canada</t>
  </si>
  <si>
    <t xml:space="preserve">Imported component. USD exposure. 12-week lead time in peak periods. Identify India alternative.</t>
  </si>
  <si>
    <t xml:space="preserve">HW-005</t>
  </si>
  <si>
    <t xml:space="preserve">Rotary Tool End-Effector Head</t>
  </si>
  <si>
    <t xml:space="preserve">High-speed pneumatic rotary tool for sanding and surface preparation. For Paint &amp; Surface Prep profile.</t>
  </si>
  <si>
    <t xml:space="preserve">30</t>
  </si>
  <si>
    <t xml:space="preserve">5 weeks</t>
  </si>
  <si>
    <t xml:space="preserve">Atlas Copco India</t>
  </si>
  <si>
    <t xml:space="preserve">Sweden/India</t>
  </si>
  <si>
    <t xml:space="preserve">Available locally. Established distribution network.</t>
  </si>
  <si>
    <t xml:space="preserve">HW-006</t>
  </si>
  <si>
    <t xml:space="preserve">Sensing &amp; Vision</t>
  </si>
  <si>
    <t xml:space="preserve">RGB-D Camera (Intel RealSense D435i equivalent)</t>
  </si>
  <si>
    <t xml:space="preserve">Depth + colour camera for part detection, pick-and-place guidance, and QC defect detection. IP65 rated.</t>
  </si>
  <si>
    <t xml:space="preserve">150</t>
  </si>
  <si>
    <t xml:space="preserve">10 weeks</t>
  </si>
  <si>
    <t xml:space="preserve">Intel / local distributor</t>
  </si>
  <si>
    <t xml:space="preserve">USA/Taiwan</t>
  </si>
  <si>
    <t xml:space="preserve">High</t>
  </si>
  <si>
    <t xml:space="preserve">US-origin chip. Subject to export controls. Evaluate domestic/Japanese alternative (Sony IMX series).</t>
  </si>
  <si>
    <t xml:space="preserve">HW-007</t>
  </si>
  <si>
    <t xml:space="preserve">Structured Light Sensor (3D scanner)</t>
  </si>
  <si>
    <t xml:space="preserve">High-resolution structured light projector for dimensional inspection in QC task profile. ±0.05 mm accuracy.</t>
  </si>
  <si>
    <t xml:space="preserve">40</t>
  </si>
  <si>
    <t xml:space="preserve">12 weeks</t>
  </si>
  <si>
    <t xml:space="preserve">SICK AG (India office)</t>
  </si>
  <si>
    <t xml:space="preserve">Germany</t>
  </si>
  <si>
    <t xml:space="preserve">European supplier. Lead time sensitive. Buffer stock of 10 units recommended.</t>
  </si>
  <si>
    <t xml:space="preserve">HW-008</t>
  </si>
  <si>
    <t xml:space="preserve">Force / Torque Sensor (6-axis)</t>
  </si>
  <si>
    <t xml:space="preserve">6-axis F/T sensor for contact force feedback during assembly and inspection. Range: 500 N / 50 Nm.</t>
  </si>
  <si>
    <t xml:space="preserve">ATI Industrial Automation</t>
  </si>
  <si>
    <t xml:space="preserve">USA</t>
  </si>
  <si>
    <t xml:space="preserve">Single-source US supplier. Export-controlled category. Evaluate Kistler (Swiss) or domestic alternatives.</t>
  </si>
  <si>
    <t xml:space="preserve">HW-009</t>
  </si>
  <si>
    <t xml:space="preserve">Proximity Sensor Array</t>
  </si>
  <si>
    <t xml:space="preserve">Inductive and optical proximity sensors for collision avoidance and workpiece detection. Pack of 4 per robot.</t>
  </si>
  <si>
    <t xml:space="preserve">300</t>
  </si>
  <si>
    <t xml:space="preserve">3 weeks</t>
  </si>
  <si>
    <t xml:space="preserve">Pepperl+Fuchs India</t>
  </si>
  <si>
    <t xml:space="preserve">Germany/India</t>
  </si>
  <si>
    <t xml:space="preserve">Widely available in India. Multiple qualified suppliers.</t>
  </si>
  <si>
    <t xml:space="preserve">HW-010</t>
  </si>
  <si>
    <t xml:space="preserve">Load / Weight Sensor</t>
  </si>
  <si>
    <t xml:space="preserve">Strain-gauge load cell for payload verification during pick-and-place and material handling.</t>
  </si>
  <si>
    <t xml:space="preserve">HBM India</t>
  </si>
  <si>
    <t xml:space="preserve">Standard industrial component. Multiple domestic suppliers available.</t>
  </si>
  <si>
    <t xml:space="preserve">HW-011</t>
  </si>
  <si>
    <t xml:space="preserve">Edge Compute &amp; Connectivity</t>
  </si>
  <si>
    <t xml:space="preserve">Onboard Edge Compute Unit</t>
  </si>
  <si>
    <t xml:space="preserve">Industrial-grade GPU compute module (NVIDIA Jetson AGX Orin or equivalent). Runs edge AI, vision inference, and firmware. IP54 rated enclosure.</t>
  </si>
  <si>
    <t xml:space="preserve">14 weeks</t>
  </si>
  <si>
    <t xml:space="preserve">NVIDIA / Tier-1 distributor</t>
  </si>
  <si>
    <t xml:space="preserve">NVIDIA Jetson has 16-week lead times in supply constrained periods. US origin. Evaluate Qualcomm RB6 (domestic) as fallback. Maintain 20-unit buffer stock.</t>
  </si>
  <si>
    <t xml:space="preserve">HW-012</t>
  </si>
  <si>
    <t xml:space="preserve">5G Industrial Modem</t>
  </si>
  <si>
    <t xml:space="preserve">Sub-6 GHz 5G modem for cloud connectivity. Supports 4G LTE fallback. Industrial temperature range.</t>
  </si>
  <si>
    <t xml:space="preserve">Sierra Wireless / Telit (India)</t>
  </si>
  <si>
    <t xml:space="preserve">USA/Canada</t>
  </si>
  <si>
    <t xml:space="preserve">USD exposure. Jio 5G coverage in target plants confirmed for Pune and Chennai corridors.</t>
  </si>
  <si>
    <t xml:space="preserve">HW-013</t>
  </si>
  <si>
    <t xml:space="preserve">Industrial Wi-Fi 6 Module</t>
  </si>
  <si>
    <t xml:space="preserve">802.11ax Wi-Fi 6 module for plant floor connectivity where 5G not available. Dual-band.</t>
  </si>
  <si>
    <t xml:space="preserve">Espressif / Qualcomm (India dist.)</t>
  </si>
  <si>
    <t xml:space="preserve">China/USA</t>
  </si>
  <si>
    <t xml:space="preserve">Espressif modules are China-origin. Qualify Qualcomm or MediaTek alternative for dual-sourcing.</t>
  </si>
  <si>
    <t xml:space="preserve">HW-014</t>
  </si>
  <si>
    <t xml:space="preserve">Power Supply Unit (24V DC industrial)</t>
  </si>
  <si>
    <t xml:space="preserve">DIN-rail mounted 24V DC industrial SMPS. 240 W. Redundant configuration per robot.</t>
  </si>
  <si>
    <t xml:space="preserve">Phoenix Contact India</t>
  </si>
  <si>
    <t xml:space="preserve">Manufactured in India. Ample supply.</t>
  </si>
  <si>
    <t xml:space="preserve">HW-015</t>
  </si>
  <si>
    <t xml:space="preserve">Onboard UPS / Battery Backup</t>
  </si>
  <si>
    <t xml:space="preserve">LiFePO4 24V/20Ah battery module for 15-minute operation during power interruption.</t>
  </si>
  <si>
    <t xml:space="preserve">Exide Industries / Amara Raja</t>
  </si>
  <si>
    <t xml:space="preserve">Domestic supply. Multiple qualified vendors. PLI incentive eligible.</t>
  </si>
  <si>
    <t xml:space="preserve">HW-016</t>
  </si>
  <si>
    <t xml:space="preserve">Navigation (Mobile Platform)</t>
  </si>
  <si>
    <t xml:space="preserve">Omnidirectional Wheel Assembly</t>
  </si>
  <si>
    <t xml:space="preserve">4-wheel omnidirectional (mecanum) drive base for material handling task profile. Max speed 1.5 m/s.</t>
  </si>
  <si>
    <t xml:space="preserve">P2</t>
  </si>
  <si>
    <t xml:space="preserve">KUKA / local fabrication</t>
  </si>
  <si>
    <t xml:space="preserve">Required only for Material Handling profile (Phase 2). 40% of fleet. Fabrication partner in Pune.</t>
  </si>
  <si>
    <t xml:space="preserve">HW-017</t>
  </si>
  <si>
    <t xml:space="preserve">2D LiDAR Scanner</t>
  </si>
  <si>
    <t xml:space="preserve">360° 2D LiDAR for plant floor navigation and obstacle avoidance. IP67. Range 30 m.</t>
  </si>
  <si>
    <t xml:space="preserve">SICK TiM series (India)</t>
  </si>
  <si>
    <t xml:space="preserve">German origin. Established India presence. Lead time risk in peak periods.</t>
  </si>
  <si>
    <t xml:space="preserve">HW-018</t>
  </si>
  <si>
    <t xml:space="preserve">IMU (Inertial Measurement Unit)</t>
  </si>
  <si>
    <t xml:space="preserve">9-axis IMU for odometry and orientation. Integrated with navigation stack.</t>
  </si>
  <si>
    <t xml:space="preserve">Bosch Sensortec / STM (India)</t>
  </si>
  <si>
    <t xml:space="preserve">Germany/Switzerland</t>
  </si>
  <si>
    <t xml:space="preserve">Commodity component. Multiple suppliers available.</t>
  </si>
  <si>
    <t xml:space="preserve">HW-019</t>
  </si>
  <si>
    <t xml:space="preserve">Lab &amp; Test Infrastructure</t>
  </si>
  <si>
    <t xml:space="preserve">Robotic Testing Rig (multi-station)</t>
  </si>
  <si>
    <t xml:space="preserve">In-house 4-station test rig for endurance, calibration, and task-profile validation of finished robots.</t>
  </si>
  <si>
    <t xml:space="preserve">1</t>
  </si>
  <si>
    <t xml:space="preserve">Rig</t>
  </si>
  <si>
    <t xml:space="preserve">16 weeks</t>
  </si>
  <si>
    <t xml:space="preserve">Custom fabrication (Pune)</t>
  </si>
  <si>
    <t xml:space="preserve">Long lead — custom fabrication. Order placed Q1 FY2027. Critical path item.</t>
  </si>
  <si>
    <t xml:space="preserve">HW-020</t>
  </si>
  <si>
    <t xml:space="preserve">Computer Vision Calibration System</t>
  </si>
  <si>
    <t xml:space="preserve">Calibration board, jig, and precision stage for factory calibration of vision sensors on each robot.</t>
  </si>
  <si>
    <t xml:space="preserve">2</t>
  </si>
  <si>
    <t xml:space="preserve">Sets</t>
  </si>
  <si>
    <t xml:space="preserve">Custom + imported optics</t>
  </si>
  <si>
    <t xml:space="preserve">India/Germany</t>
  </si>
  <si>
    <t xml:space="preserve">Partially in-house. Optics sourced from Germany — standard catalogue items.</t>
  </si>
  <si>
    <t xml:space="preserve">HW-021</t>
  </si>
  <si>
    <t xml:space="preserve">Network Test Lab (5G &amp; Wi-Fi simulation)</t>
  </si>
  <si>
    <t xml:space="preserve">Isolated RF chamber and 5G SA/NSA base station for connectivity stress testing.</t>
  </si>
  <si>
    <t xml:space="preserve">Setup</t>
  </si>
  <si>
    <t xml:space="preserve">Rohde &amp; Schwarz India</t>
  </si>
  <si>
    <t xml:space="preserve">High-value equipment. Consider leasing to reduce capex.</t>
  </si>
  <si>
    <t xml:space="preserve">HW-022</t>
  </si>
  <si>
    <t xml:space="preserve">Manufacturing (CM Partner)</t>
  </si>
  <si>
    <t xml:space="preserve">Contract Manufacturing Setup — Tooling</t>
  </si>
  <si>
    <t xml:space="preserve">Tooling, jigs, fixtures, and SMT stencils at CM partner for PCB and cable assembly of edge compute enclosure.</t>
  </si>
  <si>
    <t xml:space="preserve">CM Partner (Pune)</t>
  </si>
  <si>
    <t xml:space="preserve">CM partner selected. NDA signed. Tooling investment one-time, recoverable above 100 units.</t>
  </si>
  <si>
    <t xml:space="preserve">HW-023</t>
  </si>
  <si>
    <t xml:space="preserve">ESD-Safe Assembly Workstations (CM)</t>
  </si>
  <si>
    <t xml:space="preserve">ESD-controlled workbenches, tools, and wrist-strap monitoring at CM facility.</t>
  </si>
  <si>
    <t xml:space="preserve">8</t>
  </si>
  <si>
    <t xml:space="preserve">Stations</t>
  </si>
  <si>
    <t xml:space="preserve">Local industrial supplier</t>
  </si>
  <si>
    <t xml:space="preserve">Readily available domestically.</t>
  </si>
  <si>
    <t xml:space="preserve">HW-024</t>
  </si>
  <si>
    <t xml:space="preserve">IT &amp; Office Infrastructure</t>
  </si>
  <si>
    <t xml:space="preserve">Engineering Workstations (CAD / Simulation)</t>
  </si>
  <si>
    <t xml:space="preserve">High-performance workstations for mechanical CAD (SolidWorks) and robot simulation (ROS2/Gazebo).</t>
  </si>
  <si>
    <t xml:space="preserve">10</t>
  </si>
  <si>
    <t xml:space="preserve">Dell / HP India</t>
  </si>
  <si>
    <t xml:space="preserve">Standard commercial hardware. Multiple vendors available.</t>
  </si>
  <si>
    <t xml:space="preserve">HW-025</t>
  </si>
  <si>
    <t xml:space="preserve">Server Rack (On-Prem Dev &amp; Test)</t>
  </si>
  <si>
    <t xml:space="preserve">4U rack servers for development, CI/CD runners, and on-prem test environment. 256 GB RAM each.</t>
  </si>
  <si>
    <t xml:space="preserve">4</t>
  </si>
  <si>
    <t xml:space="preserve">Servers</t>
  </si>
  <si>
    <t xml:space="preserve">Dell PowerEdge / HPE India</t>
  </si>
  <si>
    <t xml:space="preserve">Standard commercial. Alternatively use AWS EC2 reserved instances to reduce capex.</t>
  </si>
  <si>
    <t xml:space="preserve">TOTAL HARDWARE COST  (INR Lakhs)</t>
  </si>
  <si>
    <t xml:space="preserve">Risk Level: High = single-source/import dependency / export-controlled. Medium = import exposure or moderate lead time. Low = domestic / multi-source / short lead time.  Unit Cost = per unit at target production volume (75 robots). Colour: Blue = input | Black = formula</t>
  </si>
  <si>
    <t xml:space="preserve">CloudRobotics Co. — Resource Decomposition: SOFTWARE</t>
  </si>
  <si>
    <t xml:space="preserve">Annual costs in INR Lakhs (licences, subscriptions, infra)  |  One-time build costs in INR Lakhs  |  For ECRA Risk Mapping</t>
  </si>
  <si>
    <t xml:space="preserve">SW-001</t>
  </si>
  <si>
    <t xml:space="preserve">Cloud Platform</t>
  </si>
  <si>
    <t xml:space="preserve">Cloud Control Platform (custom build)</t>
  </si>
  <si>
    <t xml:space="preserve">Web-based administrator console for fleet management, task profile assignment, OTA updates, telemetry dashboards, and audit logging. React frontend + Node.js/Python backend.</t>
  </si>
  <si>
    <t xml:space="preserve">Build</t>
  </si>
  <si>
    <t xml:space="preserve">12 months</t>
  </si>
  <si>
    <t xml:space="preserve">In-house engineering team</t>
  </si>
  <si>
    <t xml:space="preserve">Built in-house. Key dependency: engineering team capacity. Covered under Human Capital.</t>
  </si>
  <si>
    <t xml:space="preserve">SW-002</t>
  </si>
  <si>
    <t xml:space="preserve">Cloud Infrastructure (AWS India — Mumbai)</t>
  </si>
  <si>
    <t xml:space="preserve">AWS EC2, EKS, RDS, S3, CloudWatch. Multi-AZ. Covers development, staging, and production environments. Annual estimated spend at 75-robot fleet.</t>
  </si>
  <si>
    <t xml:space="preserve">Year</t>
  </si>
  <si>
    <t xml:space="preserve">Immediate</t>
  </si>
  <si>
    <t xml:space="preserve">Amazon Web Services India</t>
  </si>
  <si>
    <t xml:space="preserve">AWS dependency. Mitigate via IaC (Terraform) enabling migration to Azure/GCP if needed. Data residency in India region.</t>
  </si>
  <si>
    <t xml:space="preserve">SW-003</t>
  </si>
  <si>
    <t xml:space="preserve">CDN &amp; Edge Delivery (CloudFront + WAF)</t>
  </si>
  <si>
    <t xml:space="preserve">Content delivery and web application firewall for the admin console and API layer.</t>
  </si>
  <si>
    <t xml:space="preserve">Switchable to Cloudflare if needed. Low dependency risk.</t>
  </si>
  <si>
    <t xml:space="preserve">SW-004</t>
  </si>
  <si>
    <t xml:space="preserve">Database — PostgreSQL (RDS managed)</t>
  </si>
  <si>
    <t xml:space="preserve">Primary relational database for fleet state, user management, audit log, and task profile registry.</t>
  </si>
  <si>
    <t xml:space="preserve">Standard managed PostgreSQL. Portable to self-hosted if needed.</t>
  </si>
  <si>
    <t xml:space="preserve">SW-005</t>
  </si>
  <si>
    <t xml:space="preserve">Time-Series DB (InfluxDB Cloud / TimescaleDB)</t>
  </si>
  <si>
    <t xml:space="preserve">High-frequency telemetry storage from robot sensors and actuators. 10,000 data points/robot/second.</t>
  </si>
  <si>
    <t xml:space="preserve">InfluxData / self-hosted</t>
  </si>
  <si>
    <t xml:space="preserve">USA/India</t>
  </si>
  <si>
    <t xml:space="preserve">Open-source option (self-hosted TimescaleDB) eliminates vendor lock-in.</t>
  </si>
  <si>
    <t xml:space="preserve">SW-006</t>
  </si>
  <si>
    <t xml:space="preserve">Message Broker (MQTT — AWS IoT Core)</t>
  </si>
  <si>
    <t xml:space="preserve">Pub/sub messaging between cloud control plane and robot fleet. Supports 10,000+ concurrent connections.</t>
  </si>
  <si>
    <t xml:space="preserve">AWS IoT Core is proprietary MQTT. Evaluate open-source EMQX as self-hosted fallback.</t>
  </si>
  <si>
    <t xml:space="preserve">SW-007</t>
  </si>
  <si>
    <t xml:space="preserve">API Gateway &amp; Load Balancer</t>
  </si>
  <si>
    <t xml:space="preserve">REST and WebSocket API gateway for external integrations (ECRA, ERP, third-party systems).</t>
  </si>
  <si>
    <t xml:space="preserve">Standard managed service. Low risk.</t>
  </si>
  <si>
    <t xml:space="preserve">SW-008</t>
  </si>
  <si>
    <t xml:space="preserve">Robot Firmware &amp; OS</t>
  </si>
  <si>
    <t xml:space="preserve">Robot Operating System 2 (ROS2 — open source)</t>
  </si>
  <si>
    <t xml:space="preserve">Open-source robot middleware for hardware abstraction, sensor fusion, motion planning, and inter-process communication on the edge compute unit.</t>
  </si>
  <si>
    <t xml:space="preserve">Robots</t>
  </si>
  <si>
    <t xml:space="preserve">Open Source (Apache 2.0)</t>
  </si>
  <si>
    <t xml:space="preserve">Global</t>
  </si>
  <si>
    <t xml:space="preserve">Open source. No licence cost. Engineering effort to customise and maintain. Community-supported.</t>
  </si>
  <si>
    <t xml:space="preserve">SW-009</t>
  </si>
  <si>
    <t xml:space="preserve">Custom Edge Firmware (OTA-updateable)</t>
  </si>
  <si>
    <t xml:space="preserve">CloudRobotics-developed firmware layer above ROS2. Manages task profile execution, health monitoring, connectivity management, and OTA update client.</t>
  </si>
  <si>
    <t xml:space="preserve">8 months</t>
  </si>
  <si>
    <t xml:space="preserve">IP owned by company. Critical path. Covered under Human Capital.</t>
  </si>
  <si>
    <t xml:space="preserve">SW-010</t>
  </si>
  <si>
    <t xml:space="preserve">OTA Update System</t>
  </si>
  <si>
    <t xml:space="preserve">Secure over-the-air firmware and task profile delivery system. Supports delta updates and rollback. Based on MENDER.io or custom.</t>
  </si>
  <si>
    <t xml:space="preserve">Mender.io / in-house</t>
  </si>
  <si>
    <t xml:space="preserve">Norway/India</t>
  </si>
  <si>
    <t xml:space="preserve">Mender.io is open-source with paid hosted option. Self-host option available.</t>
  </si>
  <si>
    <t xml:space="preserve">SW-011</t>
  </si>
  <si>
    <t xml:space="preserve">Real-Time OS (FreeRTOS / Zephyr) for Safety MCU</t>
  </si>
  <si>
    <t xml:space="preserve">RTOS running on dedicated safety microcontroller for emergency stop, torque limits, and collision detection — independent of main compute.</t>
  </si>
  <si>
    <t xml:space="preserve">Open Source (MIT/Apache)</t>
  </si>
  <si>
    <t xml:space="preserve">Open source. Zero licence cost. Safety certification (IEC 62061) will require documented process.</t>
  </si>
  <si>
    <t xml:space="preserve">SW-012</t>
  </si>
  <si>
    <t xml:space="preserve">AI &amp; ML</t>
  </si>
  <si>
    <t xml:space="preserve">Computer Vision Inference Engine</t>
  </si>
  <si>
    <t xml:space="preserve">Custom CNN-based models for defect detection, part identification, and dimensional measurement. Trained on synthetic + real factory data. Runs on Jetson GPU.</t>
  </si>
  <si>
    <t xml:space="preserve">9 months</t>
  </si>
  <si>
    <t xml:space="preserve">In-house AI/ML team</t>
  </si>
  <si>
    <t xml:space="preserve">Dataset creation is critical dependency. Automotive defect data sets are proprietary. Partner with pilot customer for labelled data.</t>
  </si>
  <si>
    <t xml:space="preserve">SW-013</t>
  </si>
  <si>
    <t xml:space="preserve">Task-Switching AI Engine (Edge)</t>
  </si>
  <si>
    <t xml:space="preserve">ML model that classifies optimal task profile based on real-time sensor input and schedule. Runs on edge. Falls back to cloud recommendation.</t>
  </si>
  <si>
    <t xml:space="preserve">Phase 2 feature. Requires 6 months of production telemetry data for training.</t>
  </si>
  <si>
    <t xml:space="preserve">SW-014</t>
  </si>
  <si>
    <t xml:space="preserve">ML Training Infrastructure (GPU Cluster)</t>
  </si>
  <si>
    <t xml:space="preserve">Cloud GPU instances (AWS p3/g4 series) for model training. Estimated 200 GPU-hours/month.</t>
  </si>
  <si>
    <t xml:space="preserve">Pay-per-use. Cost scales with training frequency. Consider reserved instances post-P2.</t>
  </si>
  <si>
    <t xml:space="preserve">SW-015</t>
  </si>
  <si>
    <t xml:space="preserve">ML Model Registry &amp; Versioning (MLflow / SageMaker)</t>
  </si>
  <si>
    <t xml:space="preserve">Model versioning, experiment tracking, and deployment pipeline for all ML models.</t>
  </si>
  <si>
    <t xml:space="preserve">Open Source / AWS</t>
  </si>
  <si>
    <t xml:space="preserve">MLflow is open source. SageMaker option for managed deployment.</t>
  </si>
  <si>
    <t xml:space="preserve">SW-016</t>
  </si>
  <si>
    <t xml:space="preserve">Cybersecurity</t>
  </si>
  <si>
    <t xml:space="preserve">Hardware Security Module (HSM) — Cloud</t>
  </si>
  <si>
    <t xml:space="preserve">AWS CloudHSM for cryptographic key management and device identity (X.509 cert issuance per robot).</t>
  </si>
  <si>
    <t xml:space="preserve">2 weeks</t>
  </si>
  <si>
    <t xml:space="preserve">Cloud HSM is AWS-proprietary. Evaluate Thales Luna as vendor-neutral alternative for enterprise deployments.</t>
  </si>
  <si>
    <t xml:space="preserve">SW-017</t>
  </si>
  <si>
    <t xml:space="preserve">Vulnerability Scanning &amp; SAST/DAST Tools</t>
  </si>
  <si>
    <t xml:space="preserve">Static and dynamic application security testing. SonarQube (SAST) + OWASP ZAP (DAST) in CI/CD pipeline.</t>
  </si>
  <si>
    <t xml:space="preserve">SonarSource / OWASP (Open Source)</t>
  </si>
  <si>
    <t xml:space="preserve">Switzerland/Global</t>
  </si>
  <si>
    <t xml:space="preserve">Partially open source. SonarQube Community edition free. Enterprise edition at scale.</t>
  </si>
  <si>
    <t xml:space="preserve">SW-018</t>
  </si>
  <si>
    <t xml:space="preserve">Annual Penetration Testing</t>
  </si>
  <si>
    <t xml:space="preserve">Third-party penetration test of cloud platform, API layer, and robot firmware. Annual cadence.</t>
  </si>
  <si>
    <t xml:space="preserve">Annual</t>
  </si>
  <si>
    <t xml:space="preserve">Third-party CERT-IN empanelled firm</t>
  </si>
  <si>
    <t xml:space="preserve">Budget line. Multiple CERT-IN empanelled firms available in India.</t>
  </si>
  <si>
    <t xml:space="preserve">SW-019</t>
  </si>
  <si>
    <t xml:space="preserve">SOC 2 Type II Certification (target FY2028)</t>
  </si>
  <si>
    <t xml:space="preserve">Third-party audit and certification of security, availability, and confidentiality controls.</t>
  </si>
  <si>
    <t xml:space="preserve">P3</t>
  </si>
  <si>
    <t xml:space="preserve">18 months</t>
  </si>
  <si>
    <t xml:space="preserve">Deloitte / BDO India</t>
  </si>
  <si>
    <t xml:space="preserve">Phase 3 target. Required for enterprise and export customers. Budget allocated.</t>
  </si>
  <si>
    <t xml:space="preserve">SW-020</t>
  </si>
  <si>
    <t xml:space="preserve">DevOps &amp; Tooling</t>
  </si>
  <si>
    <t xml:space="preserve">CI/CD Platform (GitHub Actions / GitLab)</t>
  </si>
  <si>
    <t xml:space="preserve">Source control, CI pipelines, automated testing, and deployment automation.</t>
  </si>
  <si>
    <t xml:space="preserve">GitHub / GitLab</t>
  </si>
  <si>
    <t xml:space="preserve">Standard tooling. Exportable to self-hosted GitLab if needed.</t>
  </si>
  <si>
    <t xml:space="preserve">SW-021</t>
  </si>
  <si>
    <t xml:space="preserve">Container Orchestration (Kubernetes — EKS)</t>
  </si>
  <si>
    <t xml:space="preserve">Managed Kubernetes for cloud platform microservices. Auto-scaling, self-healing.</t>
  </si>
  <si>
    <t xml:space="preserve">IaC-managed. Portable to GKE/AKS. Low lock-in risk with Helm charts.</t>
  </si>
  <si>
    <t xml:space="preserve">SW-022</t>
  </si>
  <si>
    <t xml:space="preserve">Monitoring &amp; Observability (Datadog / Grafana)</t>
  </si>
  <si>
    <t xml:space="preserve">Platform-wide monitoring, alerting, log aggregation, and distributed tracing.</t>
  </si>
  <si>
    <t xml:space="preserve">Datadog / Grafana Labs</t>
  </si>
  <si>
    <t xml:space="preserve">Grafana open-source is zero-cost fallback. Datadog for enterprise observability.</t>
  </si>
  <si>
    <t xml:space="preserve">SW-023</t>
  </si>
  <si>
    <t xml:space="preserve">CAD &amp; Simulation Software</t>
  </si>
  <si>
    <t xml:space="preserve">SolidWorks (mechanical CAD) + ROS2/Gazebo (robot simulation) + MATLAB/Simulink (control systems).</t>
  </si>
  <si>
    <t xml:space="preserve">Licences</t>
  </si>
  <si>
    <t xml:space="preserve">Dassault / MathWorks India</t>
  </si>
  <si>
    <t xml:space="preserve">France/USA</t>
  </si>
  <si>
    <t xml:space="preserve">Standard engineering tooling. Educational/startup pricing available.</t>
  </si>
  <si>
    <t xml:space="preserve">SW-024</t>
  </si>
  <si>
    <t xml:space="preserve">Project Management &amp; Collaboration (Jira + Confluence)</t>
  </si>
  <si>
    <t xml:space="preserve">Agile project management, documentation, and team collaboration.</t>
  </si>
  <si>
    <t xml:space="preserve">Atlassian</t>
  </si>
  <si>
    <t xml:space="preserve">Australia</t>
  </si>
  <si>
    <t xml:space="preserve">Standard tooling. Low risk.</t>
  </si>
  <si>
    <t xml:space="preserve">SW-025</t>
  </si>
  <si>
    <t xml:space="preserve">Business Systems</t>
  </si>
  <si>
    <t xml:space="preserve">CRM (Salesforce / HubSpot)</t>
  </si>
  <si>
    <t xml:space="preserve">Customer relationship management for sales pipeline, customer health tracking, and renewal management.</t>
  </si>
  <si>
    <t xml:space="preserve">1 month</t>
  </si>
  <si>
    <t xml:space="preserve">Salesforce / HubSpot</t>
  </si>
  <si>
    <t xml:space="preserve">Phase 2 (when sales team hits 10 people). HubSpot as lower-cost initial option.</t>
  </si>
  <si>
    <t xml:space="preserve">SW-026</t>
  </si>
  <si>
    <t xml:space="preserve">ERP System (Zoho / SAP Business One)</t>
  </si>
  <si>
    <t xml:space="preserve">Finance, inventory, procurement, and HR management system.</t>
  </si>
  <si>
    <t xml:space="preserve">3 months</t>
  </si>
  <si>
    <t xml:space="preserve">Zoho Corp (India) / SAP India</t>
  </si>
  <si>
    <t xml:space="preserve">Zoho is India-headquartered with strong local support. Preferred for cost efficiency.</t>
  </si>
  <si>
    <t xml:space="preserve">SW-027</t>
  </si>
  <si>
    <t xml:space="preserve">Data Analytics &amp; BI (Metabase / Power BI)</t>
  </si>
  <si>
    <t xml:space="preserve">Internal dashboards for product telemetry, sales pipeline, and financial KPIs.</t>
  </si>
  <si>
    <t xml:space="preserve">Metabase (open source) / Microsoft</t>
  </si>
  <si>
    <t xml:space="preserve">Metabase is open source. Zero-cost option for Phase 1.</t>
  </si>
  <si>
    <t xml:space="preserve">TOTAL SOFTWARE COST  (INR Lakhs)</t>
  </si>
  <si>
    <t xml:space="preserve">Unit Cost for Build items = estimated total engineering cost (covered under Human Capital for labour). Unit Cost for annual subscriptions/licences = INR Lakhs per year. Risk: High = proprietary lock-in or export control. Medium = import/USD exposure. Low = open-source or domestic.</t>
  </si>
  <si>
    <t xml:space="preserve">CloudRobotics Co. — Resource Decomposition: HUMAN CAPITAL</t>
  </si>
  <si>
    <t xml:space="preserve">Annual cost in INR Lakhs (fully loaded: CTC + benefits + ESOP amortisation)  |  Headcount = FTEs by end of phase  |  For ECRA Risk Mapping</t>
  </si>
  <si>
    <t xml:space="preserve">HC-001</t>
  </si>
  <si>
    <t xml:space="preserve">Leadership</t>
  </si>
  <si>
    <t xml:space="preserve">Chief Executive Officer (Co-Founder)</t>
  </si>
  <si>
    <t xml:space="preserve">Business strategy, fundraising, partnerships, customer acquisition, board management.</t>
  </si>
  <si>
    <t xml:space="preserve">FTE</t>
  </si>
  <si>
    <t xml:space="preserve">Co-Founder</t>
  </si>
  <si>
    <t xml:space="preserve">Founder-role. CTC deferred partly via ESOP. Key person risk — mitigate with documented strategy and VP hires.</t>
  </si>
  <si>
    <t xml:space="preserve">HC-002</t>
  </si>
  <si>
    <t xml:space="preserve">Chief Technology Officer (Co-Founder)</t>
  </si>
  <si>
    <t xml:space="preserve">Overall technology strategy, hardware + software architecture, IP, R&amp;D leadership.</t>
  </si>
  <si>
    <t xml:space="preserve">Founder-role. Key person risk — knowledge documentation and senior engineer development critical.</t>
  </si>
  <si>
    <t xml:space="preserve">HC-003</t>
  </si>
  <si>
    <t xml:space="preserve">VP Engineering (hire — P2)</t>
  </si>
  <si>
    <t xml:space="preserve">Engineering delivery management, team scaling, release governance, cross-functional coordination.</t>
  </si>
  <si>
    <t xml:space="preserve">Q1 FY2027</t>
  </si>
  <si>
    <t xml:space="preserve">External hire</t>
  </si>
  <si>
    <t xml:space="preserve">Senior hire. Competitive market for VP Engineering in Bengaluru. 3–4 month search timeline.</t>
  </si>
  <si>
    <t xml:space="preserve">HC-004</t>
  </si>
  <si>
    <t xml:space="preserve">VP Sales (hire — P2)</t>
  </si>
  <si>
    <t xml:space="preserve">Sales team leadership, quota setting, enterprise deal closure, channel partner management.</t>
  </si>
  <si>
    <t xml:space="preserve">Automotive sales background essential. Target: ex-ABB, FANUC, or KUKA India sales leaders.</t>
  </si>
  <si>
    <t xml:space="preserve">HC-005</t>
  </si>
  <si>
    <t xml:space="preserve">Hardware Engineering</t>
  </si>
  <si>
    <t xml:space="preserve">Senior Mechanical Engineer — Robot Design</t>
  </si>
  <si>
    <t xml:space="preserve">Leads robot arm and end-effector mechanical design, tolerance analysis, DFMEA.</t>
  </si>
  <si>
    <t xml:space="preserve">Q3 FY2026</t>
  </si>
  <si>
    <t xml:space="preserve">Currently 1 in team. 1 additional hire funded by Series A. IIT/NIT graduates with automotive exposure preferred.</t>
  </si>
  <si>
    <t xml:space="preserve">HC-006</t>
  </si>
  <si>
    <t xml:space="preserve">Mechanical Engineer — Design &amp; Prototyping</t>
  </si>
  <si>
    <t xml:space="preserve">CAD modelling, prototype fabrication, BOM management, supplier coordination.</t>
  </si>
  <si>
    <t xml:space="preserve">3</t>
  </si>
  <si>
    <t xml:space="preserve">3–5 years experience. Good availability in Pune/Bengaluru engineering talent pool.</t>
  </si>
  <si>
    <t xml:space="preserve">HC-007</t>
  </si>
  <si>
    <t xml:space="preserve">Electronics / PCB Design Engineer</t>
  </si>
  <si>
    <t xml:space="preserve">Designs edge compute enclosure PCBs, power electronics, and sensor interface boards.</t>
  </si>
  <si>
    <t xml:space="preserve">Embedded electronics experience needed. Moderate supply in Bengaluru.</t>
  </si>
  <si>
    <t xml:space="preserve">HC-008</t>
  </si>
  <si>
    <t xml:space="preserve">Robotics Systems Integration Engineer</t>
  </si>
  <si>
    <t xml:space="preserve">Integrates hardware sub-systems, conducts robot-level testing, maintains test rigs.</t>
  </si>
  <si>
    <t xml:space="preserve">Q4 FY2026</t>
  </si>
  <si>
    <t xml:space="preserve">ROS2 + mechatronics background. Good availability in academic robotics pipeline.</t>
  </si>
  <si>
    <t xml:space="preserve">HC-009</t>
  </si>
  <si>
    <t xml:space="preserve">Manufacturing Quality Engineer</t>
  </si>
  <si>
    <t xml:space="preserve">Implements IATF 16949 QMS at CM partner, incoming inspection, non-conformance management.</t>
  </si>
  <si>
    <t xml:space="preserve">IATF 16949 experience essential. Strong talent pool in Pune automotive cluster.</t>
  </si>
  <si>
    <t xml:space="preserve">HC-010</t>
  </si>
  <si>
    <t xml:space="preserve">Software Engineering</t>
  </si>
  <si>
    <t xml:space="preserve">Senior Cloud Platform Engineer (Backend)</t>
  </si>
  <si>
    <t xml:space="preserve">Architects and builds cloud control platform backend (Python/Node.js microservices, Kubernetes, API design).</t>
  </si>
  <si>
    <t xml:space="preserve">High demand for senior cloud engineers in Bengaluru. Competitive compensation required. Consider ESOP to attract.</t>
  </si>
  <si>
    <t xml:space="preserve">HC-011</t>
  </si>
  <si>
    <t xml:space="preserve">Frontend Engineer (React)</t>
  </si>
  <si>
    <t xml:space="preserve">Builds and maintains administrator console web app. React + TypeScript.</t>
  </si>
  <si>
    <t xml:space="preserve">Good availability. Standard skill set.</t>
  </si>
  <si>
    <t xml:space="preserve">HC-012</t>
  </si>
  <si>
    <t xml:space="preserve">Embedded Systems / Firmware Engineer</t>
  </si>
  <si>
    <t xml:space="preserve">Develops and maintains edge firmware (ROS2 layer, OTA client, hardware drivers).</t>
  </si>
  <si>
    <t xml:space="preserve">Embedded Linux + ROS2 skill combination is scarce. Target IIT robotics labs and defence tech alumni.</t>
  </si>
  <si>
    <t xml:space="preserve">HC-013</t>
  </si>
  <si>
    <t xml:space="preserve">DevOps / Platform Engineer</t>
  </si>
  <si>
    <t xml:space="preserve">Manages CI/CD pipelines, Kubernetes infrastructure, monitoring, and security automation.</t>
  </si>
  <si>
    <t xml:space="preserve">Good availability in Bengaluru. AWS certifications preferred.</t>
  </si>
  <si>
    <t xml:space="preserve">HC-014</t>
  </si>
  <si>
    <t xml:space="preserve">QA / Test Automation Engineer</t>
  </si>
  <si>
    <t xml:space="preserve">Develops automated test suites for firmware, cloud APIs, and end-to-end system tests.</t>
  </si>
  <si>
    <t xml:space="preserve">Standard skill. Strong test automation talent pool in India.</t>
  </si>
  <si>
    <t xml:space="preserve">HC-015</t>
  </si>
  <si>
    <t xml:space="preserve">Senior AI/ML Engineer — Computer Vision</t>
  </si>
  <si>
    <t xml:space="preserve">Leads computer vision model development for defect detection and dimensional inspection. PyTorch + CUDA.</t>
  </si>
  <si>
    <t xml:space="preserve">Scarce skill in India. Computer vision + robotics intersection is highly competitive. ESOP critical. Target IISc, IIT research labs. Consider international remote hire.</t>
  </si>
  <si>
    <t xml:space="preserve">HC-016</t>
  </si>
  <si>
    <t xml:space="preserve">ML Engineer — Task Switching &amp; Predictive Analytics</t>
  </si>
  <si>
    <t xml:space="preserve">Develops task-switching AI engine and predictive maintenance models. Reinforcement learning exposure preferred.</t>
  </si>
  <si>
    <t xml:space="preserve">Reinforcement learning for robotics is scarce globally. Consider research collaboration (IIT Bombay Robotics Lab).</t>
  </si>
  <si>
    <t xml:space="preserve">HC-017</t>
  </si>
  <si>
    <t xml:space="preserve">Sales &amp; BD</t>
  </si>
  <si>
    <t xml:space="preserve">Enterprise Sales Manager — Automotive</t>
  </si>
  <si>
    <t xml:space="preserve">Manages direct sales to OEMs and Tier-1 automotive suppliers. Owns quota. Fluent in plant automation buying process.</t>
  </si>
  <si>
    <t xml:space="preserve">Must have OEM/Tier-1 relationships. Target: ex-ABB Robotics, FANUC India, Rockwell Automation India sales reps.</t>
  </si>
  <si>
    <t xml:space="preserve">HC-018</t>
  </si>
  <si>
    <t xml:space="preserve">Pre-Sales / Solutions Engineer</t>
  </si>
  <si>
    <t xml:space="preserve">Technical sales support: demos, pilot scoping, ROI modelling, and proposal writing.</t>
  </si>
  <si>
    <t xml:space="preserve">Robotics + commercial skills. Trainable from hardware engineering background.</t>
  </si>
  <si>
    <t xml:space="preserve">HC-019</t>
  </si>
  <si>
    <t xml:space="preserve">Business Development Manager — Partnerships</t>
  </si>
  <si>
    <t xml:space="preserve">Manages system integrator channel partners, OEM co-development agreements, and government/DFI relationships.</t>
  </si>
  <si>
    <t xml:space="preserve">Q2 FY2027</t>
  </si>
  <si>
    <t xml:space="preserve">Important for indirect channel. Can be internal promotion from sales team.</t>
  </si>
  <si>
    <t xml:space="preserve">HC-020</t>
  </si>
  <si>
    <t xml:space="preserve">Customer Success</t>
  </si>
  <si>
    <t xml:space="preserve">Customer Success Manager</t>
  </si>
  <si>
    <t xml:space="preserve">Post-sale relationship management, onboarding, health score monitoring, renewal, and upsell for RaaS accounts.</t>
  </si>
  <si>
    <t xml:space="preserve">SaaS/industrial automation CS background. Good availability.</t>
  </si>
  <si>
    <t xml:space="preserve">HC-021</t>
  </si>
  <si>
    <t xml:space="preserve">Field Service Engineer (Robot Deployment &amp; Support)</t>
  </si>
  <si>
    <t xml:space="preserve">On-site installation, commissioning, operator training, and field troubleshooting.</t>
  </si>
  <si>
    <t xml:space="preserve">Mechanical/electrical technician background. Good supply in Pune and Chennai corridors.</t>
  </si>
  <si>
    <t xml:space="preserve">HC-022</t>
  </si>
  <si>
    <t xml:space="preserve">Technical Support Engineer (Remote)</t>
  </si>
  <si>
    <t xml:space="preserve">24/7 remote support for RaaS customers. Monitors robot telemetry dashboards and responds to alerts.</t>
  </si>
  <si>
    <t xml:space="preserve">Shift-based. Standard skill profile. Good availability.</t>
  </si>
  <si>
    <t xml:space="preserve">HC-023</t>
  </si>
  <si>
    <t xml:space="preserve">Manufacturing &amp; Ops</t>
  </si>
  <si>
    <t xml:space="preserve">Operations Manager</t>
  </si>
  <si>
    <t xml:space="preserve">Manages CM partner relationship, production planning, supply chain, and inventory.</t>
  </si>
  <si>
    <t xml:space="preserve">Automotive manufacturing operations background preferred. Pune-based.</t>
  </si>
  <si>
    <t xml:space="preserve">HC-024</t>
  </si>
  <si>
    <t xml:space="preserve">Supply Chain / Procurement Specialist</t>
  </si>
  <si>
    <t xml:space="preserve">Manages vendor qualification, purchase orders, import logistics, and component inventory.</t>
  </si>
  <si>
    <t xml:space="preserve">Import/export experience for electronics components valuable.</t>
  </si>
  <si>
    <t xml:space="preserve">HC-025</t>
  </si>
  <si>
    <t xml:space="preserve">Finance &amp; Admin</t>
  </si>
  <si>
    <t xml:space="preserve">Chief Financial Officer / Finance Controller</t>
  </si>
  <si>
    <t xml:space="preserve">Financial reporting, investor relations, Series A management, audit coordination, and compliance.</t>
  </si>
  <si>
    <t xml:space="preserve">CA/CFA qualification preferred. Startup / VC-backed company experience valuable.</t>
  </si>
  <si>
    <t xml:space="preserve">HC-026</t>
  </si>
  <si>
    <t xml:space="preserve">Finance Analyst</t>
  </si>
  <si>
    <t xml:space="preserve">Management accounts, MIS reporting, accounts payable/receivable, GST compliance.</t>
  </si>
  <si>
    <t xml:space="preserve">CA inter or MBA Finance. Good availability.</t>
  </si>
  <si>
    <t xml:space="preserve">HC-027</t>
  </si>
  <si>
    <t xml:space="preserve">Legal Counsel / Company Secretary</t>
  </si>
  <si>
    <t xml:space="preserve">Contract management, IP filings, company secretarial, regulatory compliance (MCA, SEBI, RBI for fundraising).</t>
  </si>
  <si>
    <t xml:space="preserve">LLB with tech startup experience. Consider part-time retainer in Phase 1.</t>
  </si>
  <si>
    <t xml:space="preserve">HC-028</t>
  </si>
  <si>
    <t xml:space="preserve">HR Manager</t>
  </si>
  <si>
    <t xml:space="preserve">Recruitment, onboarding, ESOP administration, HR policy, payroll, and culture initiatives.</t>
  </si>
  <si>
    <t xml:space="preserve">Tech startup HR experience preferred.</t>
  </si>
  <si>
    <t xml:space="preserve">HC-029</t>
  </si>
  <si>
    <t xml:space="preserve">Office &amp; Administrative Manager</t>
  </si>
  <si>
    <t xml:space="preserve">Facilities, vendor management, travel, IT equipment procurement, and general office operations.</t>
  </si>
  <si>
    <t xml:space="preserve">Standard administrative profile. Good availability.</t>
  </si>
  <si>
    <t xml:space="preserve">HC-030</t>
  </si>
  <si>
    <t xml:space="preserve">Advisors &amp; Contractors</t>
  </si>
  <si>
    <t xml:space="preserve">Strategic Advisor — Automotive (retainer)</t>
  </si>
  <si>
    <t xml:space="preserve">Monthly advisory retainer for automotive OEM strategy, IATF guidance, and customer introductions.</t>
  </si>
  <si>
    <t xml:space="preserve">Retainer</t>
  </si>
  <si>
    <t xml:space="preserve">Rajan Krishnaswamy</t>
  </si>
  <si>
    <t xml:space="preserve">Already engaged. INR 40k/month retainer. Critical for OEM credibility.</t>
  </si>
  <si>
    <t xml:space="preserve">HC-031</t>
  </si>
  <si>
    <t xml:space="preserve">Venture Advisor (board observer)</t>
  </si>
  <si>
    <t xml:space="preserve">Board observer seat for lead seed investor. Investment governance and Series A preparation.</t>
  </si>
  <si>
    <t xml:space="preserve">Board</t>
  </si>
  <si>
    <t xml:space="preserve">SeedFund Ventures</t>
  </si>
  <si>
    <t xml:space="preserve">No additional cash cost. Equity through existing seed round.</t>
  </si>
  <si>
    <t xml:space="preserve">HC-032</t>
  </si>
  <si>
    <t xml:space="preserve">Safety Certification Consultant (IEC / ISO 10218)</t>
  </si>
  <si>
    <t xml:space="preserve">Specialist consultant for robot safety compliance (ISO 10218-1, ISO 13849, IEC 62061).</t>
  </si>
  <si>
    <t xml:space="preserve">Contract</t>
  </si>
  <si>
    <t xml:space="preserve">External CERT</t>
  </si>
  <si>
    <t xml:space="preserve">Europe/India</t>
  </si>
  <si>
    <t xml:space="preserve">Critical for automotive deployment approvals. Budget line — TÜV SÜD India or SGS.</t>
  </si>
  <si>
    <t xml:space="preserve">HC-033</t>
  </si>
  <si>
    <t xml:space="preserve">Cybersecurity Consultant (annual pentest + SOC 2)</t>
  </si>
  <si>
    <t xml:space="preserve">Annual penetration testing, vulnerability assessments, and SOC 2 readiness consulting.</t>
  </si>
  <si>
    <t xml:space="preserve">CERT-IN empanelled firm</t>
  </si>
  <si>
    <t xml:space="preserve">Annual budget. Multiple CERT-IN firms available.</t>
  </si>
  <si>
    <t xml:space="preserve">TOTAL ANNUAL HUMAN CAPITAL COST  (INR Lakhs)</t>
  </si>
  <si>
    <t xml:space="preserve">Unit Cost = annual fully-loaded CTC per FTE (INR Lakhs). Founders (HC-001, HC-002) = deferred CTC / ESOP — not cash cost in P1. Advisors = annual retainer/contract cost. Risk: High = scarce skill / competitive market. Medium = moderate competition. Low = good availability.</t>
  </si>
  <si>
    <t xml:space="preserve">CloudRobotics Co. — Resource Risk Mapping Summary (ECRA Input)</t>
  </si>
  <si>
    <t xml:space="preserve">Aggregated view of High and Medium risk resources across Hardware, Software, and Human Capital for ECRA risk vector scoring</t>
  </si>
  <si>
    <t xml:space="preserve">Resource ID</t>
  </si>
  <si>
    <t xml:space="preserve">Category</t>
  </si>
  <si>
    <t xml:space="preserve">Risk Driver</t>
  </si>
  <si>
    <t xml:space="preserve">Mitigation</t>
  </si>
  <si>
    <t xml:space="preserve">RGB-D Camera (Intel RealSense)</t>
  </si>
  <si>
    <t xml:space="preserve">US-origin vision sensor with export control considerations</t>
  </si>
  <si>
    <t xml:space="preserve">Hardware</t>
  </si>
  <si>
    <t xml:space="preserve">Supply Chain / Geopolitical</t>
  </si>
  <si>
    <t xml:space="preserve">Evaluate Sony IMX / domestic alternative. 12-unit buffer stock.</t>
  </si>
  <si>
    <t xml:space="preserve">Force / Torque Sensor (ATI)</t>
  </si>
  <si>
    <t xml:space="preserve">Single-source US supplier. Export-controlled category.</t>
  </si>
  <si>
    <t xml:space="preserve">Qualify Kistler (Swiss) or Sunrise Instruments (India) as dual source.</t>
  </si>
  <si>
    <t xml:space="preserve">Onboard Edge Compute (NVIDIA Jetson)</t>
  </si>
  <si>
    <t xml:space="preserve">14-16 week lead times. US-origin semiconductor.</t>
  </si>
  <si>
    <t xml:space="preserve">Supply Chain / Lead Time</t>
  </si>
  <si>
    <t xml:space="preserve">20-unit buffer stock. Evaluate Qualcomm RB6 / MediaTek alternatives.</t>
  </si>
  <si>
    <t xml:space="preserve">Robotic Testing Rig</t>
  </si>
  <si>
    <t xml:space="preserve">Custom fabrication, 16-week lead time. Critical path.</t>
  </si>
  <si>
    <t xml:space="preserve">Lead Time / Single Source</t>
  </si>
  <si>
    <t xml:space="preserve">Order placed Q1 FY2027. Identify backup fabricator.</t>
  </si>
  <si>
    <t xml:space="preserve">Adaptive Gripper (Robotiq)</t>
  </si>
  <si>
    <t xml:space="preserve">Imported from Canada. USD exposure. 12-week lead time in peak periods.</t>
  </si>
  <si>
    <t xml:space="preserve">Currency / Import</t>
  </si>
  <si>
    <t xml:space="preserve">Identify India-manufactured gripper alternative (Schunk India / OnRobot India).</t>
  </si>
  <si>
    <t xml:space="preserve">Structured Light Sensor (SICK)</t>
  </si>
  <si>
    <t xml:space="preserve">German-origin. 12-week lead time. Buffer needed.</t>
  </si>
  <si>
    <t xml:space="preserve">Import / Lead Time</t>
  </si>
  <si>
    <t xml:space="preserve">10-unit buffer stock. Evaluate Photoneo (Slovak) or Cognex.</t>
  </si>
  <si>
    <t xml:space="preserve">USD exposure. 5G coverage dependent on Jio rollout.</t>
  </si>
  <si>
    <t xml:space="preserve">Currency / Infrastructure</t>
  </si>
  <si>
    <t xml:space="preserve">Confirm 5G coverage in all target plants. Wi-Fi 6 as fallback (HW-013).</t>
  </si>
  <si>
    <t xml:space="preserve">China-origin (Espressif). Geopolitical sourcing risk.</t>
  </si>
  <si>
    <t xml:space="preserve">Geopolitical / Supply Chain</t>
  </si>
  <si>
    <t xml:space="preserve">Qualify Qualcomm or MediaTek module. Dual-source.</t>
  </si>
  <si>
    <t xml:space="preserve">AWS Cloud Infrastructure</t>
  </si>
  <si>
    <t xml:space="preserve">Single cloud provider dependency. USD-denominated cost.</t>
  </si>
  <si>
    <t xml:space="preserve">Software</t>
  </si>
  <si>
    <t xml:space="preserve">Vendor Lock-in / Currency</t>
  </si>
  <si>
    <t xml:space="preserve">IaC (Terraform) for portability. Azure India as fallback. Data residency confirmed.</t>
  </si>
  <si>
    <t xml:space="preserve">MQTT / AWS IoT Core</t>
  </si>
  <si>
    <t xml:space="preserve">Proprietary MQTT implementation. Switching cost if migrating.</t>
  </si>
  <si>
    <t xml:space="preserve">Vendor Lock-in</t>
  </si>
  <si>
    <t xml:space="preserve">Evaluate self-hosted EMQX. Open MQTT protocol limits lock-in at data level.</t>
  </si>
  <si>
    <t xml:space="preserve">Computer Vision ML Models</t>
  </si>
  <si>
    <t xml:space="preserve">Training data dependency on pilot customer. Dataset creation timeline risk.</t>
  </si>
  <si>
    <t xml:space="preserve">Data / Timeline</t>
  </si>
  <si>
    <t xml:space="preserve">Partner agreement for labelled data with pilot customer. Synthetic data augmentation pipeline.</t>
  </si>
  <si>
    <t xml:space="preserve">Task-Switching AI Engine</t>
  </si>
  <si>
    <t xml:space="preserve">Requires 6 months production telemetry before training viable.</t>
  </si>
  <si>
    <t xml:space="preserve">Timeline / Data</t>
  </si>
  <si>
    <t xml:space="preserve">Rules-based fallback engine in Phase 1. AI engine as Phase 2 upgrade.</t>
  </si>
  <si>
    <t xml:space="preserve">Hardware Security Module (AWS CloudHSM)</t>
  </si>
  <si>
    <t xml:space="preserve">AWS-proprietary HSM. Switching to self-hosted HSM is complex.</t>
  </si>
  <si>
    <t xml:space="preserve">Evaluate Thales Luna Cloud HSM as vendor-neutral option.</t>
  </si>
  <si>
    <t xml:space="preserve">Scarce skill globally. Highly competitive compensation environment.</t>
  </si>
  <si>
    <t xml:space="preserve">Talent Scarcity</t>
  </si>
  <si>
    <t xml:space="preserve">ESOP, research lab partnerships (IISc/IIT). International remote hire option.</t>
  </si>
  <si>
    <t xml:space="preserve">ML Engineer — Task Switching</t>
  </si>
  <si>
    <t xml:space="preserve">Reinforcement learning for robotics — niche globally.</t>
  </si>
  <si>
    <t xml:space="preserve">IIT Bombay Robotics Lab collaboration. PhD-to-industry pathway.</t>
  </si>
  <si>
    <t xml:space="preserve">Embedded Linux + ROS2 combination is scarce in India.</t>
  </si>
  <si>
    <t xml:space="preserve">Target defence tech alumni, IIT robotics graduates. 4-month search budget.</t>
  </si>
  <si>
    <t xml:space="preserve">Senior Cloud Platform Engineer</t>
  </si>
  <si>
    <t xml:space="preserve">High competition for senior cloud engineers in Bengaluru.</t>
  </si>
  <si>
    <t xml:space="preserve">Talent Scarcity / Retention</t>
  </si>
  <si>
    <t xml:space="preserve">ESOP allocation. Flexible remote policy. Competitive benchmarking.</t>
  </si>
  <si>
    <t xml:space="preserve">Chief Executive Officer (Founder)</t>
  </si>
  <si>
    <t xml:space="preserve">Key person dependency. Strategy and investor relationships concentrated.</t>
  </si>
  <si>
    <t xml:space="preserve">Key Person Risk</t>
  </si>
  <si>
    <t xml:space="preserve">Documented strategy. Board oversight. VP-level hires reduce concentration.</t>
  </si>
  <si>
    <t xml:space="preserve">Chief Technology Officer (Founder)</t>
  </si>
  <si>
    <t xml:space="preserve">All technical IP knowledge concentrated in one person.</t>
  </si>
  <si>
    <t xml:space="preserve">Technical documentation programme. Senior engineer development plan.</t>
  </si>
  <si>
    <t xml:space="preserve">Must have OEM/Tier-1 relationships. Scarce at required seniority.</t>
  </si>
  <si>
    <t xml:space="preserve">Target ex-ABB/FANUC/KUKA India. 3-4 month search. VP Sales to lead hiring.</t>
  </si>
  <si>
    <t xml:space="preserve">This sheet is the primary ECRA ingestion point for supply-chain, geopolitical, capital, and human capital risk vectors. High-risk items feed directly into ECRA's geopolitical and supply-chain risk scoring modules. Medium-risk items inform capital buffer and operational risk assessments.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</si>
</sst>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"/>
    <numFmt numFmtId="167" formatCode="#,##0;\(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87E"/>
      <name val="Arial"/>
      <family val="0"/>
      <charset val="1"/>
    </font>
    <font>
      <b val="true"/>
      <sz val="14"/>
      <color rgb="FF2E74B5"/>
      <name val="Arial"/>
      <family val="0"/>
      <charset val="1"/>
    </font>
    <font>
      <sz val="11"/>
      <color rgb="FF40404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87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0000"/>
      <name val="Arial"/>
      <family val="0"/>
      <charset val="1"/>
    </font>
    <font>
      <sz val="10"/>
      <color rgb="FFFF8C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8"/>
      <color rgb="FF6060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8C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87E"/>
        <bgColor rgb="FF003366"/>
      </patternFill>
    </fill>
    <fill>
      <patternFill patternType="solid">
        <fgColor rgb="FFFFF3EF"/>
        <bgColor rgb="FFFFF0F0"/>
      </patternFill>
    </fill>
    <fill>
      <patternFill patternType="solid">
        <fgColor rgb="FFFFFFFF"/>
        <bgColor rgb="FFFFF3EF"/>
      </patternFill>
    </fill>
    <fill>
      <patternFill patternType="solid">
        <fgColor rgb="FFEEF7FA"/>
        <bgColor rgb="FFEAFAF1"/>
      </patternFill>
    </fill>
    <fill>
      <patternFill patternType="solid">
        <fgColor rgb="FFEAFAF1"/>
        <bgColor rgb="FFEEF7FA"/>
      </patternFill>
    </fill>
    <fill>
      <patternFill patternType="solid">
        <fgColor rgb="FFD6E4F0"/>
        <bgColor rgb="FFDEEAF1"/>
      </patternFill>
    </fill>
    <fill>
      <patternFill patternType="solid">
        <fgColor rgb="FFFF6B35"/>
        <bgColor rgb="FFFF8080"/>
      </patternFill>
    </fill>
    <fill>
      <patternFill patternType="solid">
        <fgColor rgb="FFDEEAF1"/>
        <bgColor rgb="FFD6E4F0"/>
      </patternFill>
    </fill>
    <fill>
      <patternFill patternType="solid">
        <fgColor rgb="FF2E86AB"/>
        <bgColor rgb="FF2E74B5"/>
      </patternFill>
    </fill>
    <fill>
      <patternFill patternType="solid">
        <fgColor rgb="FF1E7145"/>
        <bgColor rgb="FF008080"/>
      </patternFill>
    </fill>
    <fill>
      <patternFill patternType="solid">
        <fgColor rgb="FFFFF0F0"/>
        <bgColor rgb="FFFFF3EF"/>
      </patternFill>
    </fill>
    <fill>
      <patternFill patternType="solid">
        <fgColor rgb="FFFFF8E1"/>
        <bgColor rgb="FFFFF3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CCCCC"/>
      <rgbColor rgb="FF808080"/>
      <rgbColor rgb="FF9999FF"/>
      <rgbColor rgb="FF993366"/>
      <rgbColor rgb="FFFFF8E1"/>
      <rgbColor rgb="FFEAFAF1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EF7FA"/>
      <rgbColor rgb="FFFFF3EF"/>
      <rgbColor rgb="FF99CCFF"/>
      <rgbColor rgb="FFFF99CC"/>
      <rgbColor rgb="FFCC99FF"/>
      <rgbColor rgb="FFFFF0F0"/>
      <rgbColor rgb="FF2E74B5"/>
      <rgbColor rgb="FF33CCCC"/>
      <rgbColor rgb="FF99CC00"/>
      <rgbColor rgb="FFFFCC00"/>
      <rgbColor rgb="FFFF8C00"/>
      <rgbColor rgb="FFFF6B35"/>
      <rgbColor rgb="FF606060"/>
      <rgbColor rgb="FF969696"/>
      <rgbColor rgb="FF003366"/>
      <rgbColor rgb="FF2E86AB"/>
      <rgbColor rgb="FF003300"/>
      <rgbColor rgb="FF333300"/>
      <rgbColor rgb="FF993300"/>
      <rgbColor rgb="FF993366"/>
      <rgbColor rgb="FF1F487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</cols>
  <sheetData>
    <row r="2" customFormat="false" ht="30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18.75" hidden="false" customHeight="true" outlineLevel="0" collapsed="false">
      <c r="B4" s="3" t="s">
        <v>2</v>
      </c>
      <c r="C4" s="3"/>
      <c r="D4" s="3"/>
      <c r="E4" s="3"/>
    </row>
    <row r="5" customFormat="false" ht="16.5" hidden="false" customHeight="true" outlineLevel="0" collapsed="false">
      <c r="B5" s="4" t="s">
        <v>3</v>
      </c>
      <c r="C5" s="4"/>
      <c r="D5" s="4"/>
      <c r="E5" s="4"/>
    </row>
    <row r="7" customFormat="false" ht="15.75" hidden="false" customHeight="true" outlineLevel="0" collapsed="false">
      <c r="B7" s="5" t="s">
        <v>4</v>
      </c>
      <c r="C7" s="5" t="s">
        <v>5</v>
      </c>
      <c r="D7" s="5" t="s">
        <v>6</v>
      </c>
      <c r="E7" s="5" t="s">
        <v>7</v>
      </c>
    </row>
    <row r="8" customFormat="false" ht="18" hidden="false" customHeight="true" outlineLevel="0" collapsed="false">
      <c r="B8" s="6" t="s">
        <v>8</v>
      </c>
      <c r="C8" s="7" t="s">
        <v>9</v>
      </c>
      <c r="D8" s="8" t="s">
        <v>10</v>
      </c>
      <c r="E8" s="7" t="s">
        <v>11</v>
      </c>
    </row>
    <row r="9" customFormat="false" ht="18" hidden="false" customHeight="true" outlineLevel="0" collapsed="false">
      <c r="B9" s="9" t="s">
        <v>12</v>
      </c>
      <c r="C9" s="7" t="s">
        <v>13</v>
      </c>
      <c r="D9" s="8" t="s">
        <v>14</v>
      </c>
      <c r="E9" s="7" t="s">
        <v>15</v>
      </c>
    </row>
    <row r="10" customFormat="false" ht="18" hidden="false" customHeight="true" outlineLevel="0" collapsed="false">
      <c r="B10" s="10" t="s">
        <v>16</v>
      </c>
      <c r="C10" s="7" t="s">
        <v>17</v>
      </c>
      <c r="D10" s="8" t="s">
        <v>18</v>
      </c>
      <c r="E10" s="7" t="s">
        <v>19</v>
      </c>
    </row>
    <row r="11" customFormat="false" ht="18" hidden="false" customHeight="true" outlineLevel="0" collapsed="false">
      <c r="B11" s="11" t="s">
        <v>20</v>
      </c>
      <c r="C11" s="7" t="s">
        <v>21</v>
      </c>
      <c r="D11" s="8" t="s">
        <v>22</v>
      </c>
      <c r="E11" s="7" t="s">
        <v>23</v>
      </c>
    </row>
    <row r="13" customFormat="false" ht="9.75" hidden="false" customHeight="true" outlineLevel="0" collapsed="false"/>
    <row r="14" customFormat="false" ht="15.75" hidden="false" customHeight="true" outlineLevel="0" collapsed="false">
      <c r="B14" s="12" t="s">
        <v>24</v>
      </c>
      <c r="C14" s="12"/>
      <c r="D14" s="12"/>
      <c r="E14" s="12"/>
    </row>
    <row r="15" customFormat="false" ht="15.75" hidden="false" customHeight="true" outlineLevel="0" collapsed="false">
      <c r="B15" s="13" t="s">
        <v>25</v>
      </c>
      <c r="C15" s="13"/>
      <c r="D15" s="13"/>
      <c r="E15" s="13"/>
    </row>
    <row r="16" customFormat="false" ht="15.75" hidden="false" customHeight="true" outlineLevel="0" collapsed="false">
      <c r="B16" s="14" t="s">
        <v>26</v>
      </c>
      <c r="C16" s="14"/>
      <c r="D16" s="14"/>
      <c r="E16" s="14"/>
    </row>
    <row r="18" customFormat="false" ht="30" hidden="false" customHeight="true" outlineLevel="0" collapsed="false">
      <c r="B18" s="15" t="s">
        <v>27</v>
      </c>
      <c r="C18" s="15"/>
      <c r="D18" s="15"/>
      <c r="E18" s="15"/>
    </row>
    <row r="19" customFormat="false" ht="15" hidden="false" customHeight="false" outlineLevel="0" collapsed="false">
      <c r="B19" s="15"/>
      <c r="C19" s="15"/>
      <c r="D19" s="15"/>
      <c r="E19" s="15"/>
    </row>
  </sheetData>
  <mergeCells count="8">
    <mergeCell ref="B2:E2"/>
    <mergeCell ref="B3:E3"/>
    <mergeCell ref="B4:E4"/>
    <mergeCell ref="B5:E5"/>
    <mergeCell ref="B14:E14"/>
    <mergeCell ref="B15:E15"/>
    <mergeCell ref="B16:E16"/>
    <mergeCell ref="B18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6" t="s">
        <v>28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" hidden="false" customHeight="false" outlineLevel="0" collapsed="false">
      <c r="A2" s="17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30" hidden="false" customHeight="true" outlineLevel="0" collapsed="false">
      <c r="A3" s="18" t="s">
        <v>30</v>
      </c>
      <c r="B3" s="18" t="s">
        <v>31</v>
      </c>
      <c r="C3" s="18" t="s">
        <v>32</v>
      </c>
      <c r="D3" s="18" t="s">
        <v>33</v>
      </c>
      <c r="E3" s="18" t="s">
        <v>34</v>
      </c>
      <c r="F3" s="18" t="s">
        <v>35</v>
      </c>
      <c r="G3" s="18" t="s">
        <v>36</v>
      </c>
      <c r="H3" s="18" t="s">
        <v>37</v>
      </c>
      <c r="I3" s="18" t="s">
        <v>38</v>
      </c>
      <c r="J3" s="18" t="s">
        <v>39</v>
      </c>
      <c r="K3" s="18" t="s">
        <v>40</v>
      </c>
      <c r="L3" s="18" t="s">
        <v>41</v>
      </c>
      <c r="M3" s="18" t="s">
        <v>42</v>
      </c>
      <c r="N3" s="18" t="s">
        <v>43</v>
      </c>
    </row>
    <row r="4" customFormat="false" ht="31.5" hidden="false" customHeight="true" outlineLevel="0" collapsed="false">
      <c r="A4" s="19" t="s">
        <v>44</v>
      </c>
      <c r="B4" s="20" t="s">
        <v>45</v>
      </c>
      <c r="C4" s="21" t="s">
        <v>46</v>
      </c>
      <c r="D4" s="22" t="s">
        <v>47</v>
      </c>
      <c r="E4" s="23" t="s">
        <v>48</v>
      </c>
      <c r="F4" s="24" t="s">
        <v>49</v>
      </c>
      <c r="G4" s="23" t="s">
        <v>50</v>
      </c>
      <c r="H4" s="25" t="n">
        <v>3.2</v>
      </c>
      <c r="I4" s="26" t="n">
        <f aca="false">F4*H4</f>
        <v>240</v>
      </c>
      <c r="J4" s="23" t="s">
        <v>51</v>
      </c>
      <c r="K4" s="27" t="s">
        <v>52</v>
      </c>
      <c r="L4" s="23" t="s">
        <v>53</v>
      </c>
      <c r="M4" s="28" t="s">
        <v>54</v>
      </c>
      <c r="N4" s="22" t="s">
        <v>55</v>
      </c>
    </row>
    <row r="5" customFormat="false" ht="31.5" hidden="false" customHeight="true" outlineLevel="0" collapsed="false">
      <c r="A5" s="19" t="s">
        <v>56</v>
      </c>
      <c r="B5" s="20" t="s">
        <v>45</v>
      </c>
      <c r="C5" s="21" t="s">
        <v>57</v>
      </c>
      <c r="D5" s="22" t="s">
        <v>58</v>
      </c>
      <c r="E5" s="23" t="s">
        <v>48</v>
      </c>
      <c r="F5" s="24" t="s">
        <v>49</v>
      </c>
      <c r="G5" s="23" t="s">
        <v>50</v>
      </c>
      <c r="H5" s="25" t="n">
        <v>0.45</v>
      </c>
      <c r="I5" s="26" t="n">
        <f aca="false">F5*H5</f>
        <v>33.75</v>
      </c>
      <c r="J5" s="23" t="s">
        <v>59</v>
      </c>
      <c r="K5" s="27" t="s">
        <v>60</v>
      </c>
      <c r="L5" s="23" t="s">
        <v>53</v>
      </c>
      <c r="M5" s="29" t="s">
        <v>61</v>
      </c>
      <c r="N5" s="22" t="s">
        <v>62</v>
      </c>
    </row>
    <row r="6" customFormat="false" ht="31.5" hidden="false" customHeight="true" outlineLevel="0" collapsed="false">
      <c r="A6" s="19" t="s">
        <v>63</v>
      </c>
      <c r="B6" s="20" t="s">
        <v>45</v>
      </c>
      <c r="C6" s="21" t="s">
        <v>64</v>
      </c>
      <c r="D6" s="22" t="s">
        <v>65</v>
      </c>
      <c r="E6" s="23" t="s">
        <v>48</v>
      </c>
      <c r="F6" s="24" t="s">
        <v>66</v>
      </c>
      <c r="G6" s="23" t="s">
        <v>50</v>
      </c>
      <c r="H6" s="25" t="n">
        <v>0.28</v>
      </c>
      <c r="I6" s="26" t="n">
        <f aca="false">F6*H6</f>
        <v>14</v>
      </c>
      <c r="J6" s="23" t="s">
        <v>67</v>
      </c>
      <c r="K6" s="27" t="s">
        <v>68</v>
      </c>
      <c r="L6" s="23" t="s">
        <v>69</v>
      </c>
      <c r="M6" s="29" t="s">
        <v>61</v>
      </c>
      <c r="N6" s="22" t="s">
        <v>70</v>
      </c>
    </row>
    <row r="7" customFormat="false" ht="31.5" hidden="false" customHeight="true" outlineLevel="0" collapsed="false">
      <c r="A7" s="19" t="s">
        <v>71</v>
      </c>
      <c r="B7" s="20" t="s">
        <v>45</v>
      </c>
      <c r="C7" s="21" t="s">
        <v>72</v>
      </c>
      <c r="D7" s="22" t="s">
        <v>73</v>
      </c>
      <c r="E7" s="23" t="s">
        <v>48</v>
      </c>
      <c r="F7" s="24" t="s">
        <v>49</v>
      </c>
      <c r="G7" s="23" t="s">
        <v>50</v>
      </c>
      <c r="H7" s="25" t="n">
        <v>0.35</v>
      </c>
      <c r="I7" s="26" t="n">
        <f aca="false">F7*H7</f>
        <v>26.25</v>
      </c>
      <c r="J7" s="23" t="s">
        <v>51</v>
      </c>
      <c r="K7" s="27" t="s">
        <v>74</v>
      </c>
      <c r="L7" s="23" t="s">
        <v>75</v>
      </c>
      <c r="M7" s="28" t="s">
        <v>54</v>
      </c>
      <c r="N7" s="22" t="s">
        <v>76</v>
      </c>
    </row>
    <row r="8" customFormat="false" ht="31.5" hidden="false" customHeight="true" outlineLevel="0" collapsed="false">
      <c r="A8" s="19" t="s">
        <v>77</v>
      </c>
      <c r="B8" s="20" t="s">
        <v>45</v>
      </c>
      <c r="C8" s="21" t="s">
        <v>78</v>
      </c>
      <c r="D8" s="22" t="s">
        <v>79</v>
      </c>
      <c r="E8" s="23" t="s">
        <v>48</v>
      </c>
      <c r="F8" s="24" t="s">
        <v>80</v>
      </c>
      <c r="G8" s="23" t="s">
        <v>50</v>
      </c>
      <c r="H8" s="25" t="n">
        <v>0.18</v>
      </c>
      <c r="I8" s="26" t="n">
        <f aca="false">F8*H8</f>
        <v>5.4</v>
      </c>
      <c r="J8" s="23" t="s">
        <v>81</v>
      </c>
      <c r="K8" s="27" t="s">
        <v>82</v>
      </c>
      <c r="L8" s="23" t="s">
        <v>83</v>
      </c>
      <c r="M8" s="29" t="s">
        <v>61</v>
      </c>
      <c r="N8" s="22" t="s">
        <v>84</v>
      </c>
    </row>
    <row r="9" customFormat="false" ht="31.5" hidden="false" customHeight="true" outlineLevel="0" collapsed="false">
      <c r="A9" s="19" t="s">
        <v>85</v>
      </c>
      <c r="B9" s="20" t="s">
        <v>86</v>
      </c>
      <c r="C9" s="21" t="s">
        <v>87</v>
      </c>
      <c r="D9" s="22" t="s">
        <v>88</v>
      </c>
      <c r="E9" s="23" t="s">
        <v>48</v>
      </c>
      <c r="F9" s="24" t="s">
        <v>89</v>
      </c>
      <c r="G9" s="23" t="s">
        <v>50</v>
      </c>
      <c r="H9" s="25" t="n">
        <v>0.22</v>
      </c>
      <c r="I9" s="26" t="n">
        <f aca="false">F9*H9</f>
        <v>33</v>
      </c>
      <c r="J9" s="23" t="s">
        <v>90</v>
      </c>
      <c r="K9" s="27" t="s">
        <v>91</v>
      </c>
      <c r="L9" s="23" t="s">
        <v>92</v>
      </c>
      <c r="M9" s="30" t="s">
        <v>93</v>
      </c>
      <c r="N9" s="22" t="s">
        <v>94</v>
      </c>
    </row>
    <row r="10" customFormat="false" ht="31.5" hidden="false" customHeight="true" outlineLevel="0" collapsed="false">
      <c r="A10" s="19" t="s">
        <v>95</v>
      </c>
      <c r="B10" s="20" t="s">
        <v>86</v>
      </c>
      <c r="C10" s="21" t="s">
        <v>96</v>
      </c>
      <c r="D10" s="22" t="s">
        <v>97</v>
      </c>
      <c r="E10" s="23" t="s">
        <v>48</v>
      </c>
      <c r="F10" s="24" t="s">
        <v>98</v>
      </c>
      <c r="G10" s="23" t="s">
        <v>50</v>
      </c>
      <c r="H10" s="25" t="n">
        <v>0.85</v>
      </c>
      <c r="I10" s="26" t="n">
        <f aca="false">F10*H10</f>
        <v>34</v>
      </c>
      <c r="J10" s="23" t="s">
        <v>99</v>
      </c>
      <c r="K10" s="27" t="s">
        <v>100</v>
      </c>
      <c r="L10" s="23" t="s">
        <v>101</v>
      </c>
      <c r="M10" s="28" t="s">
        <v>54</v>
      </c>
      <c r="N10" s="22" t="s">
        <v>102</v>
      </c>
    </row>
    <row r="11" customFormat="false" ht="31.5" hidden="false" customHeight="true" outlineLevel="0" collapsed="false">
      <c r="A11" s="19" t="s">
        <v>103</v>
      </c>
      <c r="B11" s="20" t="s">
        <v>86</v>
      </c>
      <c r="C11" s="21" t="s">
        <v>104</v>
      </c>
      <c r="D11" s="22" t="s">
        <v>105</v>
      </c>
      <c r="E11" s="23" t="s">
        <v>48</v>
      </c>
      <c r="F11" s="24" t="s">
        <v>49</v>
      </c>
      <c r="G11" s="23" t="s">
        <v>50</v>
      </c>
      <c r="H11" s="25" t="n">
        <v>0.55</v>
      </c>
      <c r="I11" s="26" t="n">
        <f aca="false">F11*H11</f>
        <v>41.25</v>
      </c>
      <c r="J11" s="23" t="s">
        <v>90</v>
      </c>
      <c r="K11" s="27" t="s">
        <v>106</v>
      </c>
      <c r="L11" s="23" t="s">
        <v>107</v>
      </c>
      <c r="M11" s="30" t="s">
        <v>93</v>
      </c>
      <c r="N11" s="22" t="s">
        <v>108</v>
      </c>
    </row>
    <row r="12" customFormat="false" ht="31.5" hidden="false" customHeight="true" outlineLevel="0" collapsed="false">
      <c r="A12" s="19" t="s">
        <v>109</v>
      </c>
      <c r="B12" s="20" t="s">
        <v>86</v>
      </c>
      <c r="C12" s="21" t="s">
        <v>110</v>
      </c>
      <c r="D12" s="22" t="s">
        <v>111</v>
      </c>
      <c r="E12" s="23" t="s">
        <v>48</v>
      </c>
      <c r="F12" s="24" t="s">
        <v>112</v>
      </c>
      <c r="G12" s="23" t="s">
        <v>50</v>
      </c>
      <c r="H12" s="25" t="n">
        <v>0.04</v>
      </c>
      <c r="I12" s="26" t="n">
        <f aca="false">F12*H12</f>
        <v>12</v>
      </c>
      <c r="J12" s="23" t="s">
        <v>113</v>
      </c>
      <c r="K12" s="27" t="s">
        <v>114</v>
      </c>
      <c r="L12" s="23" t="s">
        <v>115</v>
      </c>
      <c r="M12" s="29" t="s">
        <v>61</v>
      </c>
      <c r="N12" s="22" t="s">
        <v>116</v>
      </c>
    </row>
    <row r="13" customFormat="false" ht="31.5" hidden="false" customHeight="true" outlineLevel="0" collapsed="false">
      <c r="A13" s="19" t="s">
        <v>117</v>
      </c>
      <c r="B13" s="20" t="s">
        <v>86</v>
      </c>
      <c r="C13" s="21" t="s">
        <v>118</v>
      </c>
      <c r="D13" s="22" t="s">
        <v>119</v>
      </c>
      <c r="E13" s="23" t="s">
        <v>48</v>
      </c>
      <c r="F13" s="24" t="s">
        <v>49</v>
      </c>
      <c r="G13" s="23" t="s">
        <v>50</v>
      </c>
      <c r="H13" s="25" t="n">
        <v>0.06</v>
      </c>
      <c r="I13" s="26" t="n">
        <f aca="false">F13*H13</f>
        <v>4.5</v>
      </c>
      <c r="J13" s="23" t="s">
        <v>113</v>
      </c>
      <c r="K13" s="27" t="s">
        <v>120</v>
      </c>
      <c r="L13" s="23" t="s">
        <v>115</v>
      </c>
      <c r="M13" s="29" t="s">
        <v>61</v>
      </c>
      <c r="N13" s="22" t="s">
        <v>121</v>
      </c>
    </row>
    <row r="14" customFormat="false" ht="31.5" hidden="false" customHeight="true" outlineLevel="0" collapsed="false">
      <c r="A14" s="19" t="s">
        <v>122</v>
      </c>
      <c r="B14" s="20" t="s">
        <v>123</v>
      </c>
      <c r="C14" s="21" t="s">
        <v>124</v>
      </c>
      <c r="D14" s="22" t="s">
        <v>125</v>
      </c>
      <c r="E14" s="23" t="s">
        <v>48</v>
      </c>
      <c r="F14" s="24" t="s">
        <v>49</v>
      </c>
      <c r="G14" s="23" t="s">
        <v>50</v>
      </c>
      <c r="H14" s="25" t="n">
        <v>0.95</v>
      </c>
      <c r="I14" s="26" t="n">
        <f aca="false">F14*H14</f>
        <v>71.25</v>
      </c>
      <c r="J14" s="23" t="s">
        <v>126</v>
      </c>
      <c r="K14" s="27" t="s">
        <v>127</v>
      </c>
      <c r="L14" s="23" t="s">
        <v>92</v>
      </c>
      <c r="M14" s="30" t="s">
        <v>93</v>
      </c>
      <c r="N14" s="22" t="s">
        <v>128</v>
      </c>
    </row>
    <row r="15" customFormat="false" ht="31.5" hidden="false" customHeight="true" outlineLevel="0" collapsed="false">
      <c r="A15" s="19" t="s">
        <v>129</v>
      </c>
      <c r="B15" s="20" t="s">
        <v>123</v>
      </c>
      <c r="C15" s="21" t="s">
        <v>130</v>
      </c>
      <c r="D15" s="22" t="s">
        <v>131</v>
      </c>
      <c r="E15" s="23" t="s">
        <v>48</v>
      </c>
      <c r="F15" s="24" t="s">
        <v>49</v>
      </c>
      <c r="G15" s="23" t="s">
        <v>50</v>
      </c>
      <c r="H15" s="25" t="n">
        <v>0.18</v>
      </c>
      <c r="I15" s="26" t="n">
        <f aca="false">F15*H15</f>
        <v>13.5</v>
      </c>
      <c r="J15" s="23" t="s">
        <v>51</v>
      </c>
      <c r="K15" s="27" t="s">
        <v>132</v>
      </c>
      <c r="L15" s="23" t="s">
        <v>133</v>
      </c>
      <c r="M15" s="28" t="s">
        <v>54</v>
      </c>
      <c r="N15" s="22" t="s">
        <v>134</v>
      </c>
    </row>
    <row r="16" customFormat="false" ht="31.5" hidden="false" customHeight="true" outlineLevel="0" collapsed="false">
      <c r="A16" s="19" t="s">
        <v>135</v>
      </c>
      <c r="B16" s="20" t="s">
        <v>123</v>
      </c>
      <c r="C16" s="21" t="s">
        <v>136</v>
      </c>
      <c r="D16" s="22" t="s">
        <v>137</v>
      </c>
      <c r="E16" s="23" t="s">
        <v>48</v>
      </c>
      <c r="F16" s="24" t="s">
        <v>49</v>
      </c>
      <c r="G16" s="23" t="s">
        <v>50</v>
      </c>
      <c r="H16" s="25" t="n">
        <v>0.08</v>
      </c>
      <c r="I16" s="26" t="n">
        <f aca="false">F16*H16</f>
        <v>6</v>
      </c>
      <c r="J16" s="23" t="s">
        <v>81</v>
      </c>
      <c r="K16" s="27" t="s">
        <v>138</v>
      </c>
      <c r="L16" s="23" t="s">
        <v>139</v>
      </c>
      <c r="M16" s="28" t="s">
        <v>54</v>
      </c>
      <c r="N16" s="22" t="s">
        <v>140</v>
      </c>
    </row>
    <row r="17" customFormat="false" ht="31.5" hidden="false" customHeight="true" outlineLevel="0" collapsed="false">
      <c r="A17" s="19" t="s">
        <v>141</v>
      </c>
      <c r="B17" s="20" t="s">
        <v>123</v>
      </c>
      <c r="C17" s="21" t="s">
        <v>142</v>
      </c>
      <c r="D17" s="22" t="s">
        <v>143</v>
      </c>
      <c r="E17" s="23" t="s">
        <v>48</v>
      </c>
      <c r="F17" s="24" t="s">
        <v>89</v>
      </c>
      <c r="G17" s="23" t="s">
        <v>50</v>
      </c>
      <c r="H17" s="25" t="n">
        <v>0.04</v>
      </c>
      <c r="I17" s="26" t="n">
        <f aca="false">F17*H17</f>
        <v>6</v>
      </c>
      <c r="J17" s="23" t="s">
        <v>113</v>
      </c>
      <c r="K17" s="27" t="s">
        <v>144</v>
      </c>
      <c r="L17" s="23" t="s">
        <v>115</v>
      </c>
      <c r="M17" s="29" t="s">
        <v>61</v>
      </c>
      <c r="N17" s="22" t="s">
        <v>145</v>
      </c>
    </row>
    <row r="18" customFormat="false" ht="31.5" hidden="false" customHeight="true" outlineLevel="0" collapsed="false">
      <c r="A18" s="19" t="s">
        <v>146</v>
      </c>
      <c r="B18" s="20" t="s">
        <v>123</v>
      </c>
      <c r="C18" s="21" t="s">
        <v>147</v>
      </c>
      <c r="D18" s="22" t="s">
        <v>148</v>
      </c>
      <c r="E18" s="23" t="s">
        <v>48</v>
      </c>
      <c r="F18" s="24" t="s">
        <v>49</v>
      </c>
      <c r="G18" s="23" t="s">
        <v>50</v>
      </c>
      <c r="H18" s="25" t="n">
        <v>0.28</v>
      </c>
      <c r="I18" s="26" t="n">
        <f aca="false">F18*H18</f>
        <v>21</v>
      </c>
      <c r="J18" s="23" t="s">
        <v>67</v>
      </c>
      <c r="K18" s="27" t="s">
        <v>149</v>
      </c>
      <c r="L18" s="23" t="s">
        <v>53</v>
      </c>
      <c r="M18" s="29" t="s">
        <v>61</v>
      </c>
      <c r="N18" s="22" t="s">
        <v>150</v>
      </c>
    </row>
    <row r="19" customFormat="false" ht="31.5" hidden="false" customHeight="true" outlineLevel="0" collapsed="false">
      <c r="A19" s="19" t="s">
        <v>151</v>
      </c>
      <c r="B19" s="20" t="s">
        <v>152</v>
      </c>
      <c r="C19" s="21" t="s">
        <v>153</v>
      </c>
      <c r="D19" s="22" t="s">
        <v>154</v>
      </c>
      <c r="E19" s="23" t="s">
        <v>155</v>
      </c>
      <c r="F19" s="24" t="s">
        <v>80</v>
      </c>
      <c r="G19" s="23" t="s">
        <v>50</v>
      </c>
      <c r="H19" s="25" t="n">
        <v>0.55</v>
      </c>
      <c r="I19" s="26" t="n">
        <f aca="false">F19*H19</f>
        <v>16.5</v>
      </c>
      <c r="J19" s="23" t="s">
        <v>51</v>
      </c>
      <c r="K19" s="27" t="s">
        <v>156</v>
      </c>
      <c r="L19" s="23" t="s">
        <v>115</v>
      </c>
      <c r="M19" s="28" t="s">
        <v>54</v>
      </c>
      <c r="N19" s="22" t="s">
        <v>157</v>
      </c>
    </row>
    <row r="20" customFormat="false" ht="31.5" hidden="false" customHeight="true" outlineLevel="0" collapsed="false">
      <c r="A20" s="19" t="s">
        <v>158</v>
      </c>
      <c r="B20" s="20" t="s">
        <v>152</v>
      </c>
      <c r="C20" s="21" t="s">
        <v>159</v>
      </c>
      <c r="D20" s="22" t="s">
        <v>160</v>
      </c>
      <c r="E20" s="23" t="s">
        <v>155</v>
      </c>
      <c r="F20" s="24" t="s">
        <v>80</v>
      </c>
      <c r="G20" s="23" t="s">
        <v>50</v>
      </c>
      <c r="H20" s="25" t="n">
        <v>0.45</v>
      </c>
      <c r="I20" s="26" t="n">
        <f aca="false">F20*H20</f>
        <v>13.5</v>
      </c>
      <c r="J20" s="23" t="s">
        <v>90</v>
      </c>
      <c r="K20" s="27" t="s">
        <v>161</v>
      </c>
      <c r="L20" s="23" t="s">
        <v>101</v>
      </c>
      <c r="M20" s="28" t="s">
        <v>54</v>
      </c>
      <c r="N20" s="22" t="s">
        <v>162</v>
      </c>
    </row>
    <row r="21" customFormat="false" ht="31.5" hidden="false" customHeight="true" outlineLevel="0" collapsed="false">
      <c r="A21" s="19" t="s">
        <v>163</v>
      </c>
      <c r="B21" s="20" t="s">
        <v>152</v>
      </c>
      <c r="C21" s="21" t="s">
        <v>164</v>
      </c>
      <c r="D21" s="22" t="s">
        <v>165</v>
      </c>
      <c r="E21" s="23" t="s">
        <v>155</v>
      </c>
      <c r="F21" s="24" t="s">
        <v>80</v>
      </c>
      <c r="G21" s="23" t="s">
        <v>50</v>
      </c>
      <c r="H21" s="25" t="n">
        <v>0.03</v>
      </c>
      <c r="I21" s="26" t="n">
        <f aca="false">F21*H21</f>
        <v>0.9</v>
      </c>
      <c r="J21" s="23" t="s">
        <v>113</v>
      </c>
      <c r="K21" s="27" t="s">
        <v>166</v>
      </c>
      <c r="L21" s="23" t="s">
        <v>167</v>
      </c>
      <c r="M21" s="29" t="s">
        <v>61</v>
      </c>
      <c r="N21" s="22" t="s">
        <v>168</v>
      </c>
    </row>
    <row r="22" customFormat="false" ht="31.5" hidden="false" customHeight="true" outlineLevel="0" collapsed="false">
      <c r="A22" s="19" t="s">
        <v>169</v>
      </c>
      <c r="B22" s="20" t="s">
        <v>170</v>
      </c>
      <c r="C22" s="21" t="s">
        <v>171</v>
      </c>
      <c r="D22" s="22" t="s">
        <v>172</v>
      </c>
      <c r="E22" s="23" t="s">
        <v>48</v>
      </c>
      <c r="F22" s="24" t="s">
        <v>173</v>
      </c>
      <c r="G22" s="23" t="s">
        <v>174</v>
      </c>
      <c r="H22" s="25" t="n">
        <v>18</v>
      </c>
      <c r="I22" s="26" t="n">
        <f aca="false">F22*H22</f>
        <v>18</v>
      </c>
      <c r="J22" s="23" t="s">
        <v>175</v>
      </c>
      <c r="K22" s="27" t="s">
        <v>176</v>
      </c>
      <c r="L22" s="23" t="s">
        <v>53</v>
      </c>
      <c r="M22" s="28" t="s">
        <v>54</v>
      </c>
      <c r="N22" s="22" t="s">
        <v>177</v>
      </c>
    </row>
    <row r="23" customFormat="false" ht="31.5" hidden="false" customHeight="true" outlineLevel="0" collapsed="false">
      <c r="A23" s="19" t="s">
        <v>178</v>
      </c>
      <c r="B23" s="20" t="s">
        <v>170</v>
      </c>
      <c r="C23" s="21" t="s">
        <v>179</v>
      </c>
      <c r="D23" s="22" t="s">
        <v>180</v>
      </c>
      <c r="E23" s="23" t="s">
        <v>48</v>
      </c>
      <c r="F23" s="24" t="s">
        <v>181</v>
      </c>
      <c r="G23" s="23" t="s">
        <v>182</v>
      </c>
      <c r="H23" s="25" t="n">
        <v>2.5</v>
      </c>
      <c r="I23" s="26" t="n">
        <f aca="false">F23*H23</f>
        <v>5</v>
      </c>
      <c r="J23" s="23" t="s">
        <v>51</v>
      </c>
      <c r="K23" s="27" t="s">
        <v>183</v>
      </c>
      <c r="L23" s="23" t="s">
        <v>184</v>
      </c>
      <c r="M23" s="29" t="s">
        <v>61</v>
      </c>
      <c r="N23" s="22" t="s">
        <v>185</v>
      </c>
    </row>
    <row r="24" customFormat="false" ht="31.5" hidden="false" customHeight="true" outlineLevel="0" collapsed="false">
      <c r="A24" s="19" t="s">
        <v>186</v>
      </c>
      <c r="B24" s="20" t="s">
        <v>170</v>
      </c>
      <c r="C24" s="21" t="s">
        <v>187</v>
      </c>
      <c r="D24" s="22" t="s">
        <v>188</v>
      </c>
      <c r="E24" s="23" t="s">
        <v>48</v>
      </c>
      <c r="F24" s="24" t="s">
        <v>173</v>
      </c>
      <c r="G24" s="23" t="s">
        <v>189</v>
      </c>
      <c r="H24" s="25" t="n">
        <v>4.5</v>
      </c>
      <c r="I24" s="26" t="n">
        <f aca="false">F24*H24</f>
        <v>4.5</v>
      </c>
      <c r="J24" s="23" t="s">
        <v>99</v>
      </c>
      <c r="K24" s="27" t="s">
        <v>190</v>
      </c>
      <c r="L24" s="23" t="s">
        <v>101</v>
      </c>
      <c r="M24" s="28" t="s">
        <v>54</v>
      </c>
      <c r="N24" s="22" t="s">
        <v>191</v>
      </c>
    </row>
    <row r="25" customFormat="false" ht="31.5" hidden="false" customHeight="true" outlineLevel="0" collapsed="false">
      <c r="A25" s="19" t="s">
        <v>192</v>
      </c>
      <c r="B25" s="20" t="s">
        <v>193</v>
      </c>
      <c r="C25" s="21" t="s">
        <v>194</v>
      </c>
      <c r="D25" s="22" t="s">
        <v>195</v>
      </c>
      <c r="E25" s="23" t="s">
        <v>155</v>
      </c>
      <c r="F25" s="24" t="s">
        <v>173</v>
      </c>
      <c r="G25" s="23" t="s">
        <v>189</v>
      </c>
      <c r="H25" s="25" t="n">
        <v>8</v>
      </c>
      <c r="I25" s="26" t="n">
        <f aca="false">F25*H25</f>
        <v>8</v>
      </c>
      <c r="J25" s="23" t="s">
        <v>90</v>
      </c>
      <c r="K25" s="27" t="s">
        <v>196</v>
      </c>
      <c r="L25" s="23" t="s">
        <v>53</v>
      </c>
      <c r="M25" s="29" t="s">
        <v>61</v>
      </c>
      <c r="N25" s="22" t="s">
        <v>197</v>
      </c>
    </row>
    <row r="26" customFormat="false" ht="31.5" hidden="false" customHeight="true" outlineLevel="0" collapsed="false">
      <c r="A26" s="19" t="s">
        <v>198</v>
      </c>
      <c r="B26" s="20" t="s">
        <v>193</v>
      </c>
      <c r="C26" s="21" t="s">
        <v>199</v>
      </c>
      <c r="D26" s="22" t="s">
        <v>200</v>
      </c>
      <c r="E26" s="23" t="s">
        <v>155</v>
      </c>
      <c r="F26" s="24" t="s">
        <v>201</v>
      </c>
      <c r="G26" s="23" t="s">
        <v>202</v>
      </c>
      <c r="H26" s="25" t="n">
        <v>0.35</v>
      </c>
      <c r="I26" s="26" t="n">
        <f aca="false">F26*H26</f>
        <v>2.8</v>
      </c>
      <c r="J26" s="23" t="s">
        <v>59</v>
      </c>
      <c r="K26" s="27" t="s">
        <v>203</v>
      </c>
      <c r="L26" s="23" t="s">
        <v>53</v>
      </c>
      <c r="M26" s="29" t="s">
        <v>61</v>
      </c>
      <c r="N26" s="22" t="s">
        <v>204</v>
      </c>
    </row>
    <row r="27" customFormat="false" ht="31.5" hidden="false" customHeight="true" outlineLevel="0" collapsed="false">
      <c r="A27" s="19" t="s">
        <v>205</v>
      </c>
      <c r="B27" s="20" t="s">
        <v>206</v>
      </c>
      <c r="C27" s="21" t="s">
        <v>207</v>
      </c>
      <c r="D27" s="22" t="s">
        <v>208</v>
      </c>
      <c r="E27" s="23" t="s">
        <v>48</v>
      </c>
      <c r="F27" s="24" t="s">
        <v>209</v>
      </c>
      <c r="G27" s="23" t="s">
        <v>50</v>
      </c>
      <c r="H27" s="25" t="n">
        <v>0.28</v>
      </c>
      <c r="I27" s="26" t="n">
        <f aca="false">F27*H27</f>
        <v>2.8</v>
      </c>
      <c r="J27" s="23" t="s">
        <v>113</v>
      </c>
      <c r="K27" s="27" t="s">
        <v>210</v>
      </c>
      <c r="L27" s="23" t="s">
        <v>92</v>
      </c>
      <c r="M27" s="29" t="s">
        <v>61</v>
      </c>
      <c r="N27" s="22" t="s">
        <v>211</v>
      </c>
    </row>
    <row r="28" customFormat="false" ht="31.5" hidden="false" customHeight="true" outlineLevel="0" collapsed="false">
      <c r="A28" s="19" t="s">
        <v>212</v>
      </c>
      <c r="B28" s="20" t="s">
        <v>206</v>
      </c>
      <c r="C28" s="21" t="s">
        <v>213</v>
      </c>
      <c r="D28" s="22" t="s">
        <v>214</v>
      </c>
      <c r="E28" s="23" t="s">
        <v>48</v>
      </c>
      <c r="F28" s="24" t="s">
        <v>215</v>
      </c>
      <c r="G28" s="23" t="s">
        <v>216</v>
      </c>
      <c r="H28" s="25" t="n">
        <v>0.9</v>
      </c>
      <c r="I28" s="26" t="n">
        <f aca="false">F28*H28</f>
        <v>3.6</v>
      </c>
      <c r="J28" s="23" t="s">
        <v>81</v>
      </c>
      <c r="K28" s="27" t="s">
        <v>217</v>
      </c>
      <c r="L28" s="23" t="s">
        <v>92</v>
      </c>
      <c r="M28" s="29" t="s">
        <v>61</v>
      </c>
      <c r="N28" s="22" t="s">
        <v>218</v>
      </c>
    </row>
    <row r="29" customFormat="false" ht="18" hidden="false" customHeight="true" outlineLevel="0" collapsed="false">
      <c r="A29" s="31" t="s">
        <v>219</v>
      </c>
      <c r="B29" s="31"/>
      <c r="C29" s="31"/>
      <c r="D29" s="31"/>
      <c r="E29" s="31"/>
      <c r="F29" s="31"/>
      <c r="G29" s="31"/>
      <c r="H29" s="31"/>
      <c r="I29" s="32" t="n">
        <f aca="false">SUM(I4:I28)</f>
        <v>637.5</v>
      </c>
      <c r="J29" s="33"/>
      <c r="K29" s="33"/>
      <c r="L29" s="33"/>
      <c r="M29" s="33"/>
      <c r="N29" s="33"/>
    </row>
    <row r="30" customFormat="false" ht="24" hidden="false" customHeight="true" outlineLevel="0" collapsed="false">
      <c r="A30" s="34" t="s">
        <v>220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</row>
  </sheetData>
  <mergeCells count="4">
    <mergeCell ref="A1:N1"/>
    <mergeCell ref="A2:N2"/>
    <mergeCell ref="A29:H29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6" t="s">
        <v>221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" hidden="false" customHeight="false" outlineLevel="0" collapsed="false">
      <c r="A2" s="17" t="s">
        <v>222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30" hidden="false" customHeight="true" outlineLevel="0" collapsed="false">
      <c r="A3" s="35" t="s">
        <v>30</v>
      </c>
      <c r="B3" s="35" t="s">
        <v>31</v>
      </c>
      <c r="C3" s="35" t="s">
        <v>32</v>
      </c>
      <c r="D3" s="35" t="s">
        <v>33</v>
      </c>
      <c r="E3" s="35" t="s">
        <v>34</v>
      </c>
      <c r="F3" s="35" t="s">
        <v>35</v>
      </c>
      <c r="G3" s="35" t="s">
        <v>36</v>
      </c>
      <c r="H3" s="35" t="s">
        <v>37</v>
      </c>
      <c r="I3" s="35" t="s">
        <v>38</v>
      </c>
      <c r="J3" s="35" t="s">
        <v>39</v>
      </c>
      <c r="K3" s="35" t="s">
        <v>40</v>
      </c>
      <c r="L3" s="35" t="s">
        <v>41</v>
      </c>
      <c r="M3" s="35" t="s">
        <v>42</v>
      </c>
      <c r="N3" s="35" t="s">
        <v>43</v>
      </c>
    </row>
    <row r="4" customFormat="false" ht="31.5" hidden="false" customHeight="true" outlineLevel="0" collapsed="false">
      <c r="A4" s="36" t="s">
        <v>223</v>
      </c>
      <c r="B4" s="37" t="s">
        <v>224</v>
      </c>
      <c r="C4" s="21" t="s">
        <v>225</v>
      </c>
      <c r="D4" s="22" t="s">
        <v>226</v>
      </c>
      <c r="E4" s="23" t="s">
        <v>48</v>
      </c>
      <c r="F4" s="24" t="s">
        <v>173</v>
      </c>
      <c r="G4" s="23" t="s">
        <v>227</v>
      </c>
      <c r="H4" s="25" t="n">
        <v>120</v>
      </c>
      <c r="I4" s="26" t="n">
        <f aca="false">F4*H4</f>
        <v>120</v>
      </c>
      <c r="J4" s="23" t="s">
        <v>228</v>
      </c>
      <c r="K4" s="27" t="s">
        <v>229</v>
      </c>
      <c r="L4" s="23" t="s">
        <v>53</v>
      </c>
      <c r="M4" s="29" t="s">
        <v>61</v>
      </c>
      <c r="N4" s="22" t="s">
        <v>230</v>
      </c>
    </row>
    <row r="5" customFormat="false" ht="31.5" hidden="false" customHeight="true" outlineLevel="0" collapsed="false">
      <c r="A5" s="36" t="s">
        <v>231</v>
      </c>
      <c r="B5" s="37" t="s">
        <v>224</v>
      </c>
      <c r="C5" s="21" t="s">
        <v>232</v>
      </c>
      <c r="D5" s="22" t="s">
        <v>233</v>
      </c>
      <c r="E5" s="23" t="s">
        <v>48</v>
      </c>
      <c r="F5" s="24" t="s">
        <v>173</v>
      </c>
      <c r="G5" s="23" t="s">
        <v>234</v>
      </c>
      <c r="H5" s="25" t="n">
        <v>18</v>
      </c>
      <c r="I5" s="26" t="n">
        <f aca="false">F5*H5</f>
        <v>18</v>
      </c>
      <c r="J5" s="23" t="s">
        <v>235</v>
      </c>
      <c r="K5" s="27" t="s">
        <v>236</v>
      </c>
      <c r="L5" s="23" t="s">
        <v>107</v>
      </c>
      <c r="M5" s="28" t="s">
        <v>54</v>
      </c>
      <c r="N5" s="22" t="s">
        <v>237</v>
      </c>
    </row>
    <row r="6" customFormat="false" ht="31.5" hidden="false" customHeight="true" outlineLevel="0" collapsed="false">
      <c r="A6" s="36" t="s">
        <v>238</v>
      </c>
      <c r="B6" s="37" t="s">
        <v>224</v>
      </c>
      <c r="C6" s="21" t="s">
        <v>239</v>
      </c>
      <c r="D6" s="22" t="s">
        <v>240</v>
      </c>
      <c r="E6" s="23" t="s">
        <v>48</v>
      </c>
      <c r="F6" s="24" t="s">
        <v>173</v>
      </c>
      <c r="G6" s="23" t="s">
        <v>234</v>
      </c>
      <c r="H6" s="25" t="n">
        <v>1.5</v>
      </c>
      <c r="I6" s="26" t="n">
        <f aca="false">F6*H6</f>
        <v>1.5</v>
      </c>
      <c r="J6" s="23" t="s">
        <v>235</v>
      </c>
      <c r="K6" s="27" t="s">
        <v>236</v>
      </c>
      <c r="L6" s="23" t="s">
        <v>107</v>
      </c>
      <c r="M6" s="29" t="s">
        <v>61</v>
      </c>
      <c r="N6" s="22" t="s">
        <v>241</v>
      </c>
    </row>
    <row r="7" customFormat="false" ht="31.5" hidden="false" customHeight="true" outlineLevel="0" collapsed="false">
      <c r="A7" s="36" t="s">
        <v>242</v>
      </c>
      <c r="B7" s="37" t="s">
        <v>224</v>
      </c>
      <c r="C7" s="21" t="s">
        <v>243</v>
      </c>
      <c r="D7" s="22" t="s">
        <v>244</v>
      </c>
      <c r="E7" s="23" t="s">
        <v>48</v>
      </c>
      <c r="F7" s="24" t="s">
        <v>173</v>
      </c>
      <c r="G7" s="23" t="s">
        <v>234</v>
      </c>
      <c r="H7" s="25" t="n">
        <v>4</v>
      </c>
      <c r="I7" s="26" t="n">
        <f aca="false">F7*H7</f>
        <v>4</v>
      </c>
      <c r="J7" s="23" t="s">
        <v>235</v>
      </c>
      <c r="K7" s="27" t="s">
        <v>236</v>
      </c>
      <c r="L7" s="23" t="s">
        <v>107</v>
      </c>
      <c r="M7" s="29" t="s">
        <v>61</v>
      </c>
      <c r="N7" s="22" t="s">
        <v>245</v>
      </c>
    </row>
    <row r="8" customFormat="false" ht="31.5" hidden="false" customHeight="true" outlineLevel="0" collapsed="false">
      <c r="A8" s="36" t="s">
        <v>246</v>
      </c>
      <c r="B8" s="37" t="s">
        <v>224</v>
      </c>
      <c r="C8" s="21" t="s">
        <v>247</v>
      </c>
      <c r="D8" s="22" t="s">
        <v>248</v>
      </c>
      <c r="E8" s="23" t="s">
        <v>48</v>
      </c>
      <c r="F8" s="24" t="s">
        <v>173</v>
      </c>
      <c r="G8" s="23" t="s">
        <v>234</v>
      </c>
      <c r="H8" s="25" t="n">
        <v>3.5</v>
      </c>
      <c r="I8" s="26" t="n">
        <f aca="false">F8*H8</f>
        <v>3.5</v>
      </c>
      <c r="J8" s="23" t="s">
        <v>235</v>
      </c>
      <c r="K8" s="27" t="s">
        <v>249</v>
      </c>
      <c r="L8" s="23" t="s">
        <v>250</v>
      </c>
      <c r="M8" s="29" t="s">
        <v>61</v>
      </c>
      <c r="N8" s="22" t="s">
        <v>251</v>
      </c>
    </row>
    <row r="9" customFormat="false" ht="31.5" hidden="false" customHeight="true" outlineLevel="0" collapsed="false">
      <c r="A9" s="36" t="s">
        <v>252</v>
      </c>
      <c r="B9" s="37" t="s">
        <v>224</v>
      </c>
      <c r="C9" s="21" t="s">
        <v>253</v>
      </c>
      <c r="D9" s="22" t="s">
        <v>254</v>
      </c>
      <c r="E9" s="23" t="s">
        <v>48</v>
      </c>
      <c r="F9" s="24" t="s">
        <v>173</v>
      </c>
      <c r="G9" s="23" t="s">
        <v>234</v>
      </c>
      <c r="H9" s="25" t="n">
        <v>2</v>
      </c>
      <c r="I9" s="26" t="n">
        <f aca="false">F9*H9</f>
        <v>2</v>
      </c>
      <c r="J9" s="23" t="s">
        <v>235</v>
      </c>
      <c r="K9" s="27" t="s">
        <v>236</v>
      </c>
      <c r="L9" s="23" t="s">
        <v>107</v>
      </c>
      <c r="M9" s="28" t="s">
        <v>54</v>
      </c>
      <c r="N9" s="22" t="s">
        <v>255</v>
      </c>
    </row>
    <row r="10" customFormat="false" ht="31.5" hidden="false" customHeight="true" outlineLevel="0" collapsed="false">
      <c r="A10" s="36" t="s">
        <v>256</v>
      </c>
      <c r="B10" s="37" t="s">
        <v>224</v>
      </c>
      <c r="C10" s="21" t="s">
        <v>257</v>
      </c>
      <c r="D10" s="22" t="s">
        <v>258</v>
      </c>
      <c r="E10" s="23" t="s">
        <v>48</v>
      </c>
      <c r="F10" s="24" t="s">
        <v>173</v>
      </c>
      <c r="G10" s="23" t="s">
        <v>234</v>
      </c>
      <c r="H10" s="25" t="n">
        <v>1.2</v>
      </c>
      <c r="I10" s="26" t="n">
        <f aca="false">F10*H10</f>
        <v>1.2</v>
      </c>
      <c r="J10" s="23" t="s">
        <v>235</v>
      </c>
      <c r="K10" s="27" t="s">
        <v>236</v>
      </c>
      <c r="L10" s="23" t="s">
        <v>107</v>
      </c>
      <c r="M10" s="29" t="s">
        <v>61</v>
      </c>
      <c r="N10" s="22" t="s">
        <v>259</v>
      </c>
    </row>
    <row r="11" customFormat="false" ht="31.5" hidden="false" customHeight="true" outlineLevel="0" collapsed="false">
      <c r="A11" s="36" t="s">
        <v>260</v>
      </c>
      <c r="B11" s="37" t="s">
        <v>261</v>
      </c>
      <c r="C11" s="21" t="s">
        <v>262</v>
      </c>
      <c r="D11" s="22" t="s">
        <v>263</v>
      </c>
      <c r="E11" s="23" t="s">
        <v>48</v>
      </c>
      <c r="F11" s="24" t="s">
        <v>49</v>
      </c>
      <c r="G11" s="23" t="s">
        <v>264</v>
      </c>
      <c r="H11" s="25" t="n">
        <v>0</v>
      </c>
      <c r="I11" s="26" t="n">
        <f aca="false">F11*H11</f>
        <v>0</v>
      </c>
      <c r="J11" s="23" t="s">
        <v>235</v>
      </c>
      <c r="K11" s="27" t="s">
        <v>265</v>
      </c>
      <c r="L11" s="23" t="s">
        <v>266</v>
      </c>
      <c r="M11" s="29" t="s">
        <v>61</v>
      </c>
      <c r="N11" s="22" t="s">
        <v>267</v>
      </c>
    </row>
    <row r="12" customFormat="false" ht="31.5" hidden="false" customHeight="true" outlineLevel="0" collapsed="false">
      <c r="A12" s="36" t="s">
        <v>268</v>
      </c>
      <c r="B12" s="37" t="s">
        <v>261</v>
      </c>
      <c r="C12" s="21" t="s">
        <v>269</v>
      </c>
      <c r="D12" s="22" t="s">
        <v>270</v>
      </c>
      <c r="E12" s="23" t="s">
        <v>48</v>
      </c>
      <c r="F12" s="24" t="s">
        <v>173</v>
      </c>
      <c r="G12" s="23" t="s">
        <v>227</v>
      </c>
      <c r="H12" s="25" t="n">
        <v>35</v>
      </c>
      <c r="I12" s="26" t="n">
        <f aca="false">F12*H12</f>
        <v>35</v>
      </c>
      <c r="J12" s="23" t="s">
        <v>271</v>
      </c>
      <c r="K12" s="27" t="s">
        <v>229</v>
      </c>
      <c r="L12" s="23" t="s">
        <v>53</v>
      </c>
      <c r="M12" s="29" t="s">
        <v>61</v>
      </c>
      <c r="N12" s="22" t="s">
        <v>272</v>
      </c>
    </row>
    <row r="13" customFormat="false" ht="31.5" hidden="false" customHeight="true" outlineLevel="0" collapsed="false">
      <c r="A13" s="36" t="s">
        <v>273</v>
      </c>
      <c r="B13" s="37" t="s">
        <v>261</v>
      </c>
      <c r="C13" s="21" t="s">
        <v>274</v>
      </c>
      <c r="D13" s="22" t="s">
        <v>275</v>
      </c>
      <c r="E13" s="23" t="s">
        <v>48</v>
      </c>
      <c r="F13" s="24" t="s">
        <v>173</v>
      </c>
      <c r="G13" s="23" t="s">
        <v>234</v>
      </c>
      <c r="H13" s="25" t="n">
        <v>2.5</v>
      </c>
      <c r="I13" s="26" t="n">
        <f aca="false">F13*H13</f>
        <v>2.5</v>
      </c>
      <c r="J13" s="23" t="s">
        <v>235</v>
      </c>
      <c r="K13" s="27" t="s">
        <v>276</v>
      </c>
      <c r="L13" s="23" t="s">
        <v>277</v>
      </c>
      <c r="M13" s="29" t="s">
        <v>61</v>
      </c>
      <c r="N13" s="22" t="s">
        <v>278</v>
      </c>
    </row>
    <row r="14" customFormat="false" ht="31.5" hidden="false" customHeight="true" outlineLevel="0" collapsed="false">
      <c r="A14" s="36" t="s">
        <v>279</v>
      </c>
      <c r="B14" s="37" t="s">
        <v>261</v>
      </c>
      <c r="C14" s="21" t="s">
        <v>280</v>
      </c>
      <c r="D14" s="22" t="s">
        <v>281</v>
      </c>
      <c r="E14" s="23" t="s">
        <v>48</v>
      </c>
      <c r="F14" s="24" t="s">
        <v>49</v>
      </c>
      <c r="G14" s="23" t="s">
        <v>264</v>
      </c>
      <c r="H14" s="25" t="n">
        <v>0</v>
      </c>
      <c r="I14" s="26" t="n">
        <f aca="false">F14*H14</f>
        <v>0</v>
      </c>
      <c r="J14" s="23" t="s">
        <v>235</v>
      </c>
      <c r="K14" s="27" t="s">
        <v>282</v>
      </c>
      <c r="L14" s="23" t="s">
        <v>266</v>
      </c>
      <c r="M14" s="29" t="s">
        <v>61</v>
      </c>
      <c r="N14" s="22" t="s">
        <v>283</v>
      </c>
    </row>
    <row r="15" customFormat="false" ht="31.5" hidden="false" customHeight="true" outlineLevel="0" collapsed="false">
      <c r="A15" s="36" t="s">
        <v>284</v>
      </c>
      <c r="B15" s="37" t="s">
        <v>285</v>
      </c>
      <c r="C15" s="21" t="s">
        <v>286</v>
      </c>
      <c r="D15" s="22" t="s">
        <v>287</v>
      </c>
      <c r="E15" s="23" t="s">
        <v>48</v>
      </c>
      <c r="F15" s="24" t="s">
        <v>173</v>
      </c>
      <c r="G15" s="23" t="s">
        <v>227</v>
      </c>
      <c r="H15" s="25" t="n">
        <v>28</v>
      </c>
      <c r="I15" s="26" t="n">
        <f aca="false">F15*H15</f>
        <v>28</v>
      </c>
      <c r="J15" s="23" t="s">
        <v>288</v>
      </c>
      <c r="K15" s="27" t="s">
        <v>289</v>
      </c>
      <c r="L15" s="23" t="s">
        <v>53</v>
      </c>
      <c r="M15" s="28" t="s">
        <v>54</v>
      </c>
      <c r="N15" s="22" t="s">
        <v>290</v>
      </c>
    </row>
    <row r="16" customFormat="false" ht="31.5" hidden="false" customHeight="true" outlineLevel="0" collapsed="false">
      <c r="A16" s="36" t="s">
        <v>291</v>
      </c>
      <c r="B16" s="37" t="s">
        <v>285</v>
      </c>
      <c r="C16" s="21" t="s">
        <v>292</v>
      </c>
      <c r="D16" s="22" t="s">
        <v>293</v>
      </c>
      <c r="E16" s="23" t="s">
        <v>155</v>
      </c>
      <c r="F16" s="24" t="s">
        <v>173</v>
      </c>
      <c r="G16" s="23" t="s">
        <v>227</v>
      </c>
      <c r="H16" s="25" t="n">
        <v>20</v>
      </c>
      <c r="I16" s="26" t="n">
        <f aca="false">F16*H16</f>
        <v>20</v>
      </c>
      <c r="J16" s="23" t="s">
        <v>228</v>
      </c>
      <c r="K16" s="27" t="s">
        <v>289</v>
      </c>
      <c r="L16" s="23" t="s">
        <v>53</v>
      </c>
      <c r="M16" s="28" t="s">
        <v>54</v>
      </c>
      <c r="N16" s="22" t="s">
        <v>294</v>
      </c>
    </row>
    <row r="17" customFormat="false" ht="31.5" hidden="false" customHeight="true" outlineLevel="0" collapsed="false">
      <c r="A17" s="36" t="s">
        <v>295</v>
      </c>
      <c r="B17" s="37" t="s">
        <v>285</v>
      </c>
      <c r="C17" s="21" t="s">
        <v>296</v>
      </c>
      <c r="D17" s="22" t="s">
        <v>297</v>
      </c>
      <c r="E17" s="23" t="s">
        <v>48</v>
      </c>
      <c r="F17" s="24" t="s">
        <v>173</v>
      </c>
      <c r="G17" s="23" t="s">
        <v>234</v>
      </c>
      <c r="H17" s="25" t="n">
        <v>6</v>
      </c>
      <c r="I17" s="26" t="n">
        <f aca="false">F17*H17</f>
        <v>6</v>
      </c>
      <c r="J17" s="23" t="s">
        <v>235</v>
      </c>
      <c r="K17" s="27" t="s">
        <v>236</v>
      </c>
      <c r="L17" s="23" t="s">
        <v>107</v>
      </c>
      <c r="M17" s="29" t="s">
        <v>61</v>
      </c>
      <c r="N17" s="22" t="s">
        <v>298</v>
      </c>
    </row>
    <row r="18" customFormat="false" ht="31.5" hidden="false" customHeight="true" outlineLevel="0" collapsed="false">
      <c r="A18" s="36" t="s">
        <v>299</v>
      </c>
      <c r="B18" s="37" t="s">
        <v>285</v>
      </c>
      <c r="C18" s="21" t="s">
        <v>300</v>
      </c>
      <c r="D18" s="22" t="s">
        <v>301</v>
      </c>
      <c r="E18" s="23" t="s">
        <v>48</v>
      </c>
      <c r="F18" s="24" t="s">
        <v>173</v>
      </c>
      <c r="G18" s="23" t="s">
        <v>234</v>
      </c>
      <c r="H18" s="25" t="n">
        <v>1.5</v>
      </c>
      <c r="I18" s="26" t="n">
        <f aca="false">F18*H18</f>
        <v>1.5</v>
      </c>
      <c r="J18" s="23" t="s">
        <v>235</v>
      </c>
      <c r="K18" s="27" t="s">
        <v>302</v>
      </c>
      <c r="L18" s="23" t="s">
        <v>250</v>
      </c>
      <c r="M18" s="29" t="s">
        <v>61</v>
      </c>
      <c r="N18" s="22" t="s">
        <v>303</v>
      </c>
    </row>
    <row r="19" customFormat="false" ht="31.5" hidden="false" customHeight="true" outlineLevel="0" collapsed="false">
      <c r="A19" s="36" t="s">
        <v>304</v>
      </c>
      <c r="B19" s="37" t="s">
        <v>305</v>
      </c>
      <c r="C19" s="21" t="s">
        <v>306</v>
      </c>
      <c r="D19" s="22" t="s">
        <v>307</v>
      </c>
      <c r="E19" s="23" t="s">
        <v>48</v>
      </c>
      <c r="F19" s="24" t="s">
        <v>173</v>
      </c>
      <c r="G19" s="23" t="s">
        <v>234</v>
      </c>
      <c r="H19" s="25" t="n">
        <v>4.5</v>
      </c>
      <c r="I19" s="26" t="n">
        <f aca="false">F19*H19</f>
        <v>4.5</v>
      </c>
      <c r="J19" s="23" t="s">
        <v>308</v>
      </c>
      <c r="K19" s="27" t="s">
        <v>236</v>
      </c>
      <c r="L19" s="23" t="s">
        <v>107</v>
      </c>
      <c r="M19" s="28" t="s">
        <v>54</v>
      </c>
      <c r="N19" s="22" t="s">
        <v>309</v>
      </c>
    </row>
    <row r="20" customFormat="false" ht="31.5" hidden="false" customHeight="true" outlineLevel="0" collapsed="false">
      <c r="A20" s="36" t="s">
        <v>310</v>
      </c>
      <c r="B20" s="37" t="s">
        <v>305</v>
      </c>
      <c r="C20" s="21" t="s">
        <v>311</v>
      </c>
      <c r="D20" s="22" t="s">
        <v>312</v>
      </c>
      <c r="E20" s="23" t="s">
        <v>48</v>
      </c>
      <c r="F20" s="24" t="s">
        <v>173</v>
      </c>
      <c r="G20" s="23" t="s">
        <v>234</v>
      </c>
      <c r="H20" s="25" t="n">
        <v>1.8</v>
      </c>
      <c r="I20" s="26" t="n">
        <f aca="false">F20*H20</f>
        <v>1.8</v>
      </c>
      <c r="J20" s="23" t="s">
        <v>235</v>
      </c>
      <c r="K20" s="27" t="s">
        <v>313</v>
      </c>
      <c r="L20" s="23" t="s">
        <v>314</v>
      </c>
      <c r="M20" s="29" t="s">
        <v>61</v>
      </c>
      <c r="N20" s="22" t="s">
        <v>315</v>
      </c>
    </row>
    <row r="21" customFormat="false" ht="31.5" hidden="false" customHeight="true" outlineLevel="0" collapsed="false">
      <c r="A21" s="36" t="s">
        <v>316</v>
      </c>
      <c r="B21" s="37" t="s">
        <v>305</v>
      </c>
      <c r="C21" s="21" t="s">
        <v>317</v>
      </c>
      <c r="D21" s="22" t="s">
        <v>318</v>
      </c>
      <c r="E21" s="23" t="s">
        <v>48</v>
      </c>
      <c r="F21" s="24" t="s">
        <v>173</v>
      </c>
      <c r="G21" s="23" t="s">
        <v>234</v>
      </c>
      <c r="H21" s="25" t="n">
        <v>5</v>
      </c>
      <c r="I21" s="26" t="n">
        <f aca="false">F21*H21</f>
        <v>5</v>
      </c>
      <c r="J21" s="23" t="s">
        <v>319</v>
      </c>
      <c r="K21" s="27" t="s">
        <v>320</v>
      </c>
      <c r="L21" s="23" t="s">
        <v>53</v>
      </c>
      <c r="M21" s="29" t="s">
        <v>61</v>
      </c>
      <c r="N21" s="22" t="s">
        <v>321</v>
      </c>
    </row>
    <row r="22" customFormat="false" ht="31.5" hidden="false" customHeight="true" outlineLevel="0" collapsed="false">
      <c r="A22" s="36" t="s">
        <v>322</v>
      </c>
      <c r="B22" s="37" t="s">
        <v>305</v>
      </c>
      <c r="C22" s="21" t="s">
        <v>323</v>
      </c>
      <c r="D22" s="22" t="s">
        <v>324</v>
      </c>
      <c r="E22" s="23" t="s">
        <v>325</v>
      </c>
      <c r="F22" s="24" t="s">
        <v>173</v>
      </c>
      <c r="G22" s="23" t="s">
        <v>234</v>
      </c>
      <c r="H22" s="25" t="n">
        <v>8</v>
      </c>
      <c r="I22" s="26" t="n">
        <f aca="false">F22*H22</f>
        <v>8</v>
      </c>
      <c r="J22" s="23" t="s">
        <v>326</v>
      </c>
      <c r="K22" s="27" t="s">
        <v>327</v>
      </c>
      <c r="L22" s="23" t="s">
        <v>53</v>
      </c>
      <c r="M22" s="29" t="s">
        <v>61</v>
      </c>
      <c r="N22" s="22" t="s">
        <v>328</v>
      </c>
    </row>
    <row r="23" customFormat="false" ht="31.5" hidden="false" customHeight="true" outlineLevel="0" collapsed="false">
      <c r="A23" s="36" t="s">
        <v>329</v>
      </c>
      <c r="B23" s="37" t="s">
        <v>330</v>
      </c>
      <c r="C23" s="21" t="s">
        <v>331</v>
      </c>
      <c r="D23" s="22" t="s">
        <v>332</v>
      </c>
      <c r="E23" s="23" t="s">
        <v>48</v>
      </c>
      <c r="F23" s="24" t="s">
        <v>173</v>
      </c>
      <c r="G23" s="23" t="s">
        <v>234</v>
      </c>
      <c r="H23" s="25" t="n">
        <v>1.2</v>
      </c>
      <c r="I23" s="26" t="n">
        <f aca="false">F23*H23</f>
        <v>1.2</v>
      </c>
      <c r="J23" s="23" t="s">
        <v>235</v>
      </c>
      <c r="K23" s="27" t="s">
        <v>333</v>
      </c>
      <c r="L23" s="23" t="s">
        <v>107</v>
      </c>
      <c r="M23" s="29" t="s">
        <v>61</v>
      </c>
      <c r="N23" s="22" t="s">
        <v>334</v>
      </c>
    </row>
    <row r="24" customFormat="false" ht="31.5" hidden="false" customHeight="true" outlineLevel="0" collapsed="false">
      <c r="A24" s="36" t="s">
        <v>335</v>
      </c>
      <c r="B24" s="37" t="s">
        <v>330</v>
      </c>
      <c r="C24" s="21" t="s">
        <v>336</v>
      </c>
      <c r="D24" s="22" t="s">
        <v>337</v>
      </c>
      <c r="E24" s="23" t="s">
        <v>48</v>
      </c>
      <c r="F24" s="24" t="s">
        <v>173</v>
      </c>
      <c r="G24" s="23" t="s">
        <v>234</v>
      </c>
      <c r="H24" s="25" t="n">
        <v>3.5</v>
      </c>
      <c r="I24" s="26" t="n">
        <f aca="false">F24*H24</f>
        <v>3.5</v>
      </c>
      <c r="J24" s="23" t="s">
        <v>235</v>
      </c>
      <c r="K24" s="27" t="s">
        <v>236</v>
      </c>
      <c r="L24" s="23" t="s">
        <v>107</v>
      </c>
      <c r="M24" s="29" t="s">
        <v>61</v>
      </c>
      <c r="N24" s="22" t="s">
        <v>338</v>
      </c>
    </row>
    <row r="25" customFormat="false" ht="31.5" hidden="false" customHeight="true" outlineLevel="0" collapsed="false">
      <c r="A25" s="36" t="s">
        <v>339</v>
      </c>
      <c r="B25" s="37" t="s">
        <v>330</v>
      </c>
      <c r="C25" s="21" t="s">
        <v>340</v>
      </c>
      <c r="D25" s="22" t="s">
        <v>341</v>
      </c>
      <c r="E25" s="23" t="s">
        <v>48</v>
      </c>
      <c r="F25" s="24" t="s">
        <v>173</v>
      </c>
      <c r="G25" s="23" t="s">
        <v>234</v>
      </c>
      <c r="H25" s="25" t="n">
        <v>4</v>
      </c>
      <c r="I25" s="26" t="n">
        <f aca="false">F25*H25</f>
        <v>4</v>
      </c>
      <c r="J25" s="23" t="s">
        <v>235</v>
      </c>
      <c r="K25" s="27" t="s">
        <v>342</v>
      </c>
      <c r="L25" s="23" t="s">
        <v>107</v>
      </c>
      <c r="M25" s="29" t="s">
        <v>61</v>
      </c>
      <c r="N25" s="22" t="s">
        <v>343</v>
      </c>
    </row>
    <row r="26" customFormat="false" ht="31.5" hidden="false" customHeight="true" outlineLevel="0" collapsed="false">
      <c r="A26" s="36" t="s">
        <v>344</v>
      </c>
      <c r="B26" s="37" t="s">
        <v>330</v>
      </c>
      <c r="C26" s="21" t="s">
        <v>345</v>
      </c>
      <c r="D26" s="22" t="s">
        <v>346</v>
      </c>
      <c r="E26" s="23" t="s">
        <v>48</v>
      </c>
      <c r="F26" s="24" t="s">
        <v>209</v>
      </c>
      <c r="G26" s="23" t="s">
        <v>347</v>
      </c>
      <c r="H26" s="25" t="n">
        <v>0.85</v>
      </c>
      <c r="I26" s="26" t="n">
        <f aca="false">F26*H26</f>
        <v>8.5</v>
      </c>
      <c r="J26" s="23" t="s">
        <v>308</v>
      </c>
      <c r="K26" s="27" t="s">
        <v>348</v>
      </c>
      <c r="L26" s="23" t="s">
        <v>349</v>
      </c>
      <c r="M26" s="29" t="s">
        <v>61</v>
      </c>
      <c r="N26" s="22" t="s">
        <v>350</v>
      </c>
    </row>
    <row r="27" customFormat="false" ht="31.5" hidden="false" customHeight="true" outlineLevel="0" collapsed="false">
      <c r="A27" s="36" t="s">
        <v>351</v>
      </c>
      <c r="B27" s="37" t="s">
        <v>330</v>
      </c>
      <c r="C27" s="21" t="s">
        <v>352</v>
      </c>
      <c r="D27" s="22" t="s">
        <v>353</v>
      </c>
      <c r="E27" s="23" t="s">
        <v>48</v>
      </c>
      <c r="F27" s="24" t="s">
        <v>173</v>
      </c>
      <c r="G27" s="23" t="s">
        <v>234</v>
      </c>
      <c r="H27" s="25" t="n">
        <v>0.6</v>
      </c>
      <c r="I27" s="26" t="n">
        <f aca="false">F27*H27</f>
        <v>0.6</v>
      </c>
      <c r="J27" s="23" t="s">
        <v>235</v>
      </c>
      <c r="K27" s="27" t="s">
        <v>354</v>
      </c>
      <c r="L27" s="23" t="s">
        <v>355</v>
      </c>
      <c r="M27" s="29" t="s">
        <v>61</v>
      </c>
      <c r="N27" s="22" t="s">
        <v>356</v>
      </c>
    </row>
    <row r="28" customFormat="false" ht="31.5" hidden="false" customHeight="true" outlineLevel="0" collapsed="false">
      <c r="A28" s="36" t="s">
        <v>357</v>
      </c>
      <c r="B28" s="37" t="s">
        <v>358</v>
      </c>
      <c r="C28" s="21" t="s">
        <v>359</v>
      </c>
      <c r="D28" s="22" t="s">
        <v>360</v>
      </c>
      <c r="E28" s="23" t="s">
        <v>155</v>
      </c>
      <c r="F28" s="24" t="s">
        <v>173</v>
      </c>
      <c r="G28" s="23" t="s">
        <v>234</v>
      </c>
      <c r="H28" s="25" t="n">
        <v>2.5</v>
      </c>
      <c r="I28" s="26" t="n">
        <f aca="false">F28*H28</f>
        <v>2.5</v>
      </c>
      <c r="J28" s="23" t="s">
        <v>361</v>
      </c>
      <c r="K28" s="27" t="s">
        <v>362</v>
      </c>
      <c r="L28" s="23" t="s">
        <v>107</v>
      </c>
      <c r="M28" s="29" t="s">
        <v>61</v>
      </c>
      <c r="N28" s="22" t="s">
        <v>363</v>
      </c>
    </row>
    <row r="29" customFormat="false" ht="31.5" hidden="false" customHeight="true" outlineLevel="0" collapsed="false">
      <c r="A29" s="36" t="s">
        <v>364</v>
      </c>
      <c r="B29" s="37" t="s">
        <v>358</v>
      </c>
      <c r="C29" s="21" t="s">
        <v>365</v>
      </c>
      <c r="D29" s="22" t="s">
        <v>366</v>
      </c>
      <c r="E29" s="23" t="s">
        <v>155</v>
      </c>
      <c r="F29" s="24" t="s">
        <v>173</v>
      </c>
      <c r="G29" s="23" t="s">
        <v>234</v>
      </c>
      <c r="H29" s="25" t="n">
        <v>4</v>
      </c>
      <c r="I29" s="26" t="n">
        <f aca="false">F29*H29</f>
        <v>4</v>
      </c>
      <c r="J29" s="23" t="s">
        <v>367</v>
      </c>
      <c r="K29" s="27" t="s">
        <v>368</v>
      </c>
      <c r="L29" s="23" t="s">
        <v>184</v>
      </c>
      <c r="M29" s="29" t="s">
        <v>61</v>
      </c>
      <c r="N29" s="22" t="s">
        <v>369</v>
      </c>
    </row>
    <row r="30" customFormat="false" ht="31.5" hidden="false" customHeight="true" outlineLevel="0" collapsed="false">
      <c r="A30" s="36" t="s">
        <v>370</v>
      </c>
      <c r="B30" s="37" t="s">
        <v>358</v>
      </c>
      <c r="C30" s="21" t="s">
        <v>371</v>
      </c>
      <c r="D30" s="22" t="s">
        <v>372</v>
      </c>
      <c r="E30" s="23" t="s">
        <v>48</v>
      </c>
      <c r="F30" s="24" t="s">
        <v>173</v>
      </c>
      <c r="G30" s="23" t="s">
        <v>234</v>
      </c>
      <c r="H30" s="25" t="n">
        <v>0.8</v>
      </c>
      <c r="I30" s="26" t="n">
        <f aca="false">F30*H30</f>
        <v>0.8</v>
      </c>
      <c r="J30" s="23" t="s">
        <v>235</v>
      </c>
      <c r="K30" s="27" t="s">
        <v>373</v>
      </c>
      <c r="L30" s="23" t="s">
        <v>107</v>
      </c>
      <c r="M30" s="29" t="s">
        <v>61</v>
      </c>
      <c r="N30" s="22" t="s">
        <v>374</v>
      </c>
    </row>
    <row r="31" customFormat="false" ht="18" hidden="false" customHeight="true" outlineLevel="0" collapsed="false">
      <c r="A31" s="31" t="s">
        <v>375</v>
      </c>
      <c r="B31" s="31"/>
      <c r="C31" s="31"/>
      <c r="D31" s="31"/>
      <c r="E31" s="31"/>
      <c r="F31" s="31"/>
      <c r="G31" s="31"/>
      <c r="H31" s="31"/>
      <c r="I31" s="32" t="n">
        <f aca="false">SUM(I4:I30)</f>
        <v>287.6</v>
      </c>
      <c r="J31" s="33"/>
      <c r="K31" s="33"/>
      <c r="L31" s="33"/>
      <c r="M31" s="33"/>
      <c r="N31" s="33"/>
    </row>
    <row r="32" customFormat="false" ht="24" hidden="false" customHeight="true" outlineLevel="0" collapsed="false">
      <c r="A32" s="34" t="s">
        <v>376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</sheetData>
  <mergeCells count="4">
    <mergeCell ref="A1:N1"/>
    <mergeCell ref="A2:N2"/>
    <mergeCell ref="A31:H31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0"/>
    <col collapsed="false" customWidth="true" hidden="false" outlineLevel="0" max="14" min="14" style="0" width="30"/>
  </cols>
  <sheetData>
    <row r="1" customFormat="false" ht="24" hidden="false" customHeight="true" outlineLevel="0" collapsed="false">
      <c r="A1" s="16" t="s">
        <v>377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" hidden="false" customHeight="false" outlineLevel="0" collapsed="false">
      <c r="A2" s="17" t="s">
        <v>378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30" hidden="false" customHeight="true" outlineLevel="0" collapsed="false">
      <c r="A3" s="38" t="s">
        <v>30</v>
      </c>
      <c r="B3" s="38" t="s">
        <v>31</v>
      </c>
      <c r="C3" s="38" t="s">
        <v>32</v>
      </c>
      <c r="D3" s="38" t="s">
        <v>33</v>
      </c>
      <c r="E3" s="38" t="s">
        <v>34</v>
      </c>
      <c r="F3" s="38" t="s">
        <v>35</v>
      </c>
      <c r="G3" s="38" t="s">
        <v>36</v>
      </c>
      <c r="H3" s="38" t="s">
        <v>37</v>
      </c>
      <c r="I3" s="38" t="s">
        <v>38</v>
      </c>
      <c r="J3" s="38" t="s">
        <v>39</v>
      </c>
      <c r="K3" s="38" t="s">
        <v>40</v>
      </c>
      <c r="L3" s="38" t="s">
        <v>41</v>
      </c>
      <c r="M3" s="38" t="s">
        <v>42</v>
      </c>
      <c r="N3" s="38" t="s">
        <v>43</v>
      </c>
    </row>
    <row r="4" customFormat="false" ht="31.5" hidden="false" customHeight="true" outlineLevel="0" collapsed="false">
      <c r="A4" s="39" t="s">
        <v>379</v>
      </c>
      <c r="B4" s="40" t="s">
        <v>380</v>
      </c>
      <c r="C4" s="21" t="s">
        <v>381</v>
      </c>
      <c r="D4" s="22" t="s">
        <v>382</v>
      </c>
      <c r="E4" s="23" t="s">
        <v>48</v>
      </c>
      <c r="F4" s="24" t="s">
        <v>173</v>
      </c>
      <c r="G4" s="23" t="s">
        <v>383</v>
      </c>
      <c r="H4" s="25" t="n">
        <v>0</v>
      </c>
      <c r="I4" s="26" t="n">
        <f aca="false">F4*H4</f>
        <v>0</v>
      </c>
      <c r="J4" s="23" t="s">
        <v>235</v>
      </c>
      <c r="K4" s="27" t="s">
        <v>384</v>
      </c>
      <c r="L4" s="23" t="s">
        <v>53</v>
      </c>
      <c r="M4" s="29" t="s">
        <v>61</v>
      </c>
      <c r="N4" s="22" t="s">
        <v>385</v>
      </c>
    </row>
    <row r="5" customFormat="false" ht="31.5" hidden="false" customHeight="true" outlineLevel="0" collapsed="false">
      <c r="A5" s="39" t="s">
        <v>386</v>
      </c>
      <c r="B5" s="40" t="s">
        <v>380</v>
      </c>
      <c r="C5" s="21" t="s">
        <v>387</v>
      </c>
      <c r="D5" s="22" t="s">
        <v>388</v>
      </c>
      <c r="E5" s="23" t="s">
        <v>48</v>
      </c>
      <c r="F5" s="24" t="s">
        <v>173</v>
      </c>
      <c r="G5" s="23" t="s">
        <v>383</v>
      </c>
      <c r="H5" s="25" t="n">
        <v>0</v>
      </c>
      <c r="I5" s="26" t="n">
        <f aca="false">F5*H5</f>
        <v>0</v>
      </c>
      <c r="J5" s="23" t="s">
        <v>235</v>
      </c>
      <c r="K5" s="27" t="s">
        <v>384</v>
      </c>
      <c r="L5" s="23" t="s">
        <v>53</v>
      </c>
      <c r="M5" s="29" t="s">
        <v>61</v>
      </c>
      <c r="N5" s="22" t="s">
        <v>389</v>
      </c>
    </row>
    <row r="6" customFormat="false" ht="31.5" hidden="false" customHeight="true" outlineLevel="0" collapsed="false">
      <c r="A6" s="39" t="s">
        <v>390</v>
      </c>
      <c r="B6" s="40" t="s">
        <v>380</v>
      </c>
      <c r="C6" s="21" t="s">
        <v>391</v>
      </c>
      <c r="D6" s="22" t="s">
        <v>392</v>
      </c>
      <c r="E6" s="23" t="s">
        <v>155</v>
      </c>
      <c r="F6" s="24" t="s">
        <v>173</v>
      </c>
      <c r="G6" s="23" t="s">
        <v>383</v>
      </c>
      <c r="H6" s="25" t="n">
        <v>45</v>
      </c>
      <c r="I6" s="26" t="n">
        <f aca="false">F6*H6</f>
        <v>45</v>
      </c>
      <c r="J6" s="23" t="s">
        <v>393</v>
      </c>
      <c r="K6" s="27" t="s">
        <v>394</v>
      </c>
      <c r="L6" s="23" t="s">
        <v>53</v>
      </c>
      <c r="M6" s="28" t="s">
        <v>54</v>
      </c>
      <c r="N6" s="22" t="s">
        <v>395</v>
      </c>
    </row>
    <row r="7" customFormat="false" ht="31.5" hidden="false" customHeight="true" outlineLevel="0" collapsed="false">
      <c r="A7" s="39" t="s">
        <v>396</v>
      </c>
      <c r="B7" s="40" t="s">
        <v>380</v>
      </c>
      <c r="C7" s="21" t="s">
        <v>397</v>
      </c>
      <c r="D7" s="22" t="s">
        <v>398</v>
      </c>
      <c r="E7" s="23" t="s">
        <v>155</v>
      </c>
      <c r="F7" s="24" t="s">
        <v>173</v>
      </c>
      <c r="G7" s="23" t="s">
        <v>383</v>
      </c>
      <c r="H7" s="25" t="n">
        <v>40</v>
      </c>
      <c r="I7" s="26" t="n">
        <f aca="false">F7*H7</f>
        <v>40</v>
      </c>
      <c r="J7" s="23" t="s">
        <v>393</v>
      </c>
      <c r="K7" s="27" t="s">
        <v>394</v>
      </c>
      <c r="L7" s="23" t="s">
        <v>53</v>
      </c>
      <c r="M7" s="28" t="s">
        <v>54</v>
      </c>
      <c r="N7" s="22" t="s">
        <v>399</v>
      </c>
    </row>
    <row r="8" customFormat="false" ht="31.5" hidden="false" customHeight="true" outlineLevel="0" collapsed="false">
      <c r="A8" s="39" t="s">
        <v>400</v>
      </c>
      <c r="B8" s="40" t="s">
        <v>401</v>
      </c>
      <c r="C8" s="21" t="s">
        <v>402</v>
      </c>
      <c r="D8" s="22" t="s">
        <v>403</v>
      </c>
      <c r="E8" s="23" t="s">
        <v>48</v>
      </c>
      <c r="F8" s="24" t="s">
        <v>181</v>
      </c>
      <c r="G8" s="23" t="s">
        <v>383</v>
      </c>
      <c r="H8" s="25" t="n">
        <v>18</v>
      </c>
      <c r="I8" s="26" t="n">
        <f aca="false">F8*H8</f>
        <v>36</v>
      </c>
      <c r="J8" s="23" t="s">
        <v>404</v>
      </c>
      <c r="K8" s="27" t="s">
        <v>394</v>
      </c>
      <c r="L8" s="23" t="s">
        <v>53</v>
      </c>
      <c r="M8" s="29" t="s">
        <v>61</v>
      </c>
      <c r="N8" s="22" t="s">
        <v>405</v>
      </c>
    </row>
    <row r="9" customFormat="false" ht="31.5" hidden="false" customHeight="true" outlineLevel="0" collapsed="false">
      <c r="A9" s="39" t="s">
        <v>406</v>
      </c>
      <c r="B9" s="40" t="s">
        <v>401</v>
      </c>
      <c r="C9" s="21" t="s">
        <v>407</v>
      </c>
      <c r="D9" s="22" t="s">
        <v>408</v>
      </c>
      <c r="E9" s="23" t="s">
        <v>48</v>
      </c>
      <c r="F9" s="24" t="s">
        <v>409</v>
      </c>
      <c r="G9" s="23" t="s">
        <v>383</v>
      </c>
      <c r="H9" s="25" t="n">
        <v>12</v>
      </c>
      <c r="I9" s="26" t="n">
        <f aca="false">F9*H9</f>
        <v>36</v>
      </c>
      <c r="J9" s="23" t="s">
        <v>404</v>
      </c>
      <c r="K9" s="27" t="s">
        <v>394</v>
      </c>
      <c r="L9" s="23" t="s">
        <v>53</v>
      </c>
      <c r="M9" s="29" t="s">
        <v>61</v>
      </c>
      <c r="N9" s="22" t="s">
        <v>410</v>
      </c>
    </row>
    <row r="10" customFormat="false" ht="31.5" hidden="false" customHeight="true" outlineLevel="0" collapsed="false">
      <c r="A10" s="39" t="s">
        <v>411</v>
      </c>
      <c r="B10" s="40" t="s">
        <v>401</v>
      </c>
      <c r="C10" s="21" t="s">
        <v>412</v>
      </c>
      <c r="D10" s="22" t="s">
        <v>413</v>
      </c>
      <c r="E10" s="23" t="s">
        <v>48</v>
      </c>
      <c r="F10" s="24" t="s">
        <v>181</v>
      </c>
      <c r="G10" s="23" t="s">
        <v>383</v>
      </c>
      <c r="H10" s="25" t="n">
        <v>14</v>
      </c>
      <c r="I10" s="26" t="n">
        <f aca="false">F10*H10</f>
        <v>28</v>
      </c>
      <c r="J10" s="23" t="s">
        <v>404</v>
      </c>
      <c r="K10" s="27" t="s">
        <v>394</v>
      </c>
      <c r="L10" s="23" t="s">
        <v>53</v>
      </c>
      <c r="M10" s="29" t="s">
        <v>61</v>
      </c>
      <c r="N10" s="22" t="s">
        <v>414</v>
      </c>
    </row>
    <row r="11" customFormat="false" ht="31.5" hidden="false" customHeight="true" outlineLevel="0" collapsed="false">
      <c r="A11" s="39" t="s">
        <v>415</v>
      </c>
      <c r="B11" s="40" t="s">
        <v>401</v>
      </c>
      <c r="C11" s="21" t="s">
        <v>416</v>
      </c>
      <c r="D11" s="22" t="s">
        <v>417</v>
      </c>
      <c r="E11" s="23" t="s">
        <v>48</v>
      </c>
      <c r="F11" s="24" t="s">
        <v>181</v>
      </c>
      <c r="G11" s="23" t="s">
        <v>383</v>
      </c>
      <c r="H11" s="25" t="n">
        <v>14</v>
      </c>
      <c r="I11" s="26" t="n">
        <f aca="false">F11*H11</f>
        <v>28</v>
      </c>
      <c r="J11" s="23" t="s">
        <v>418</v>
      </c>
      <c r="K11" s="27" t="s">
        <v>394</v>
      </c>
      <c r="L11" s="23" t="s">
        <v>53</v>
      </c>
      <c r="M11" s="29" t="s">
        <v>61</v>
      </c>
      <c r="N11" s="22" t="s">
        <v>419</v>
      </c>
    </row>
    <row r="12" customFormat="false" ht="31.5" hidden="false" customHeight="true" outlineLevel="0" collapsed="false">
      <c r="A12" s="39" t="s">
        <v>420</v>
      </c>
      <c r="B12" s="40" t="s">
        <v>401</v>
      </c>
      <c r="C12" s="21" t="s">
        <v>421</v>
      </c>
      <c r="D12" s="22" t="s">
        <v>422</v>
      </c>
      <c r="E12" s="23" t="s">
        <v>155</v>
      </c>
      <c r="F12" s="24" t="s">
        <v>181</v>
      </c>
      <c r="G12" s="23" t="s">
        <v>383</v>
      </c>
      <c r="H12" s="25" t="n">
        <v>12</v>
      </c>
      <c r="I12" s="26" t="n">
        <f aca="false">F12*H12</f>
        <v>24</v>
      </c>
      <c r="J12" s="23" t="s">
        <v>393</v>
      </c>
      <c r="K12" s="27" t="s">
        <v>394</v>
      </c>
      <c r="L12" s="23" t="s">
        <v>53</v>
      </c>
      <c r="M12" s="29" t="s">
        <v>61</v>
      </c>
      <c r="N12" s="22" t="s">
        <v>423</v>
      </c>
    </row>
    <row r="13" customFormat="false" ht="31.5" hidden="false" customHeight="true" outlineLevel="0" collapsed="false">
      <c r="A13" s="39" t="s">
        <v>424</v>
      </c>
      <c r="B13" s="40" t="s">
        <v>425</v>
      </c>
      <c r="C13" s="21" t="s">
        <v>426</v>
      </c>
      <c r="D13" s="22" t="s">
        <v>427</v>
      </c>
      <c r="E13" s="23" t="s">
        <v>48</v>
      </c>
      <c r="F13" s="24" t="s">
        <v>181</v>
      </c>
      <c r="G13" s="23" t="s">
        <v>383</v>
      </c>
      <c r="H13" s="25" t="n">
        <v>20</v>
      </c>
      <c r="I13" s="26" t="n">
        <f aca="false">F13*H13</f>
        <v>40</v>
      </c>
      <c r="J13" s="23" t="s">
        <v>404</v>
      </c>
      <c r="K13" s="27" t="s">
        <v>394</v>
      </c>
      <c r="L13" s="23" t="s">
        <v>53</v>
      </c>
      <c r="M13" s="28" t="s">
        <v>54</v>
      </c>
      <c r="N13" s="22" t="s">
        <v>428</v>
      </c>
    </row>
    <row r="14" customFormat="false" ht="31.5" hidden="false" customHeight="true" outlineLevel="0" collapsed="false">
      <c r="A14" s="39" t="s">
        <v>429</v>
      </c>
      <c r="B14" s="40" t="s">
        <v>425</v>
      </c>
      <c r="C14" s="21" t="s">
        <v>430</v>
      </c>
      <c r="D14" s="22" t="s">
        <v>431</v>
      </c>
      <c r="E14" s="23" t="s">
        <v>48</v>
      </c>
      <c r="F14" s="24" t="s">
        <v>181</v>
      </c>
      <c r="G14" s="23" t="s">
        <v>383</v>
      </c>
      <c r="H14" s="25" t="n">
        <v>14</v>
      </c>
      <c r="I14" s="26" t="n">
        <f aca="false">F14*H14</f>
        <v>28</v>
      </c>
      <c r="J14" s="23" t="s">
        <v>404</v>
      </c>
      <c r="K14" s="27" t="s">
        <v>394</v>
      </c>
      <c r="L14" s="23" t="s">
        <v>53</v>
      </c>
      <c r="M14" s="29" t="s">
        <v>61</v>
      </c>
      <c r="N14" s="22" t="s">
        <v>432</v>
      </c>
    </row>
    <row r="15" customFormat="false" ht="31.5" hidden="false" customHeight="true" outlineLevel="0" collapsed="false">
      <c r="A15" s="39" t="s">
        <v>433</v>
      </c>
      <c r="B15" s="40" t="s">
        <v>425</v>
      </c>
      <c r="C15" s="21" t="s">
        <v>434</v>
      </c>
      <c r="D15" s="22" t="s">
        <v>435</v>
      </c>
      <c r="E15" s="23" t="s">
        <v>48</v>
      </c>
      <c r="F15" s="24" t="s">
        <v>409</v>
      </c>
      <c r="G15" s="23" t="s">
        <v>383</v>
      </c>
      <c r="H15" s="25" t="n">
        <v>16</v>
      </c>
      <c r="I15" s="26" t="n">
        <f aca="false">F15*H15</f>
        <v>48</v>
      </c>
      <c r="J15" s="23" t="s">
        <v>404</v>
      </c>
      <c r="K15" s="27" t="s">
        <v>394</v>
      </c>
      <c r="L15" s="23" t="s">
        <v>53</v>
      </c>
      <c r="M15" s="28" t="s">
        <v>54</v>
      </c>
      <c r="N15" s="22" t="s">
        <v>436</v>
      </c>
    </row>
    <row r="16" customFormat="false" ht="31.5" hidden="false" customHeight="true" outlineLevel="0" collapsed="false">
      <c r="A16" s="39" t="s">
        <v>437</v>
      </c>
      <c r="B16" s="40" t="s">
        <v>425</v>
      </c>
      <c r="C16" s="21" t="s">
        <v>438</v>
      </c>
      <c r="D16" s="22" t="s">
        <v>439</v>
      </c>
      <c r="E16" s="23" t="s">
        <v>48</v>
      </c>
      <c r="F16" s="24" t="s">
        <v>181</v>
      </c>
      <c r="G16" s="23" t="s">
        <v>383</v>
      </c>
      <c r="H16" s="25" t="n">
        <v>16</v>
      </c>
      <c r="I16" s="26" t="n">
        <f aca="false">F16*H16</f>
        <v>32</v>
      </c>
      <c r="J16" s="23" t="s">
        <v>418</v>
      </c>
      <c r="K16" s="27" t="s">
        <v>394</v>
      </c>
      <c r="L16" s="23" t="s">
        <v>53</v>
      </c>
      <c r="M16" s="29" t="s">
        <v>61</v>
      </c>
      <c r="N16" s="22" t="s">
        <v>440</v>
      </c>
    </row>
    <row r="17" customFormat="false" ht="31.5" hidden="false" customHeight="true" outlineLevel="0" collapsed="false">
      <c r="A17" s="39" t="s">
        <v>441</v>
      </c>
      <c r="B17" s="40" t="s">
        <v>425</v>
      </c>
      <c r="C17" s="21" t="s">
        <v>442</v>
      </c>
      <c r="D17" s="22" t="s">
        <v>443</v>
      </c>
      <c r="E17" s="23" t="s">
        <v>155</v>
      </c>
      <c r="F17" s="24" t="s">
        <v>181</v>
      </c>
      <c r="G17" s="23" t="s">
        <v>383</v>
      </c>
      <c r="H17" s="25" t="n">
        <v>12</v>
      </c>
      <c r="I17" s="26" t="n">
        <f aca="false">F17*H17</f>
        <v>24</v>
      </c>
      <c r="J17" s="23" t="s">
        <v>393</v>
      </c>
      <c r="K17" s="27" t="s">
        <v>394</v>
      </c>
      <c r="L17" s="23" t="s">
        <v>53</v>
      </c>
      <c r="M17" s="29" t="s">
        <v>61</v>
      </c>
      <c r="N17" s="22" t="s">
        <v>444</v>
      </c>
    </row>
    <row r="18" customFormat="false" ht="31.5" hidden="false" customHeight="true" outlineLevel="0" collapsed="false">
      <c r="A18" s="39" t="s">
        <v>445</v>
      </c>
      <c r="B18" s="40" t="s">
        <v>285</v>
      </c>
      <c r="C18" s="21" t="s">
        <v>446</v>
      </c>
      <c r="D18" s="22" t="s">
        <v>447</v>
      </c>
      <c r="E18" s="23" t="s">
        <v>48</v>
      </c>
      <c r="F18" s="24" t="s">
        <v>173</v>
      </c>
      <c r="G18" s="23" t="s">
        <v>383</v>
      </c>
      <c r="H18" s="25" t="n">
        <v>24</v>
      </c>
      <c r="I18" s="26" t="n">
        <f aca="false">F18*H18</f>
        <v>24</v>
      </c>
      <c r="J18" s="23" t="s">
        <v>404</v>
      </c>
      <c r="K18" s="27" t="s">
        <v>394</v>
      </c>
      <c r="L18" s="23" t="s">
        <v>53</v>
      </c>
      <c r="M18" s="30" t="s">
        <v>93</v>
      </c>
      <c r="N18" s="22" t="s">
        <v>448</v>
      </c>
    </row>
    <row r="19" customFormat="false" ht="31.5" hidden="false" customHeight="true" outlineLevel="0" collapsed="false">
      <c r="A19" s="39" t="s">
        <v>449</v>
      </c>
      <c r="B19" s="40" t="s">
        <v>285</v>
      </c>
      <c r="C19" s="21" t="s">
        <v>450</v>
      </c>
      <c r="D19" s="22" t="s">
        <v>451</v>
      </c>
      <c r="E19" s="23" t="s">
        <v>155</v>
      </c>
      <c r="F19" s="24" t="s">
        <v>181</v>
      </c>
      <c r="G19" s="23" t="s">
        <v>383</v>
      </c>
      <c r="H19" s="25" t="n">
        <v>20</v>
      </c>
      <c r="I19" s="26" t="n">
        <f aca="false">F19*H19</f>
        <v>40</v>
      </c>
      <c r="J19" s="23" t="s">
        <v>393</v>
      </c>
      <c r="K19" s="27" t="s">
        <v>394</v>
      </c>
      <c r="L19" s="23" t="s">
        <v>53</v>
      </c>
      <c r="M19" s="30" t="s">
        <v>93</v>
      </c>
      <c r="N19" s="22" t="s">
        <v>452</v>
      </c>
    </row>
    <row r="20" customFormat="false" ht="31.5" hidden="false" customHeight="true" outlineLevel="0" collapsed="false">
      <c r="A20" s="39" t="s">
        <v>453</v>
      </c>
      <c r="B20" s="40" t="s">
        <v>454</v>
      </c>
      <c r="C20" s="21" t="s">
        <v>455</v>
      </c>
      <c r="D20" s="22" t="s">
        <v>456</v>
      </c>
      <c r="E20" s="23" t="s">
        <v>155</v>
      </c>
      <c r="F20" s="24" t="s">
        <v>215</v>
      </c>
      <c r="G20" s="23" t="s">
        <v>383</v>
      </c>
      <c r="H20" s="25" t="n">
        <v>18</v>
      </c>
      <c r="I20" s="26" t="n">
        <f aca="false">F20*H20</f>
        <v>72</v>
      </c>
      <c r="J20" s="23" t="s">
        <v>393</v>
      </c>
      <c r="K20" s="27" t="s">
        <v>394</v>
      </c>
      <c r="L20" s="23" t="s">
        <v>53</v>
      </c>
      <c r="M20" s="28" t="s">
        <v>54</v>
      </c>
      <c r="N20" s="22" t="s">
        <v>457</v>
      </c>
    </row>
    <row r="21" customFormat="false" ht="31.5" hidden="false" customHeight="true" outlineLevel="0" collapsed="false">
      <c r="A21" s="39" t="s">
        <v>458</v>
      </c>
      <c r="B21" s="40" t="s">
        <v>454</v>
      </c>
      <c r="C21" s="21" t="s">
        <v>459</v>
      </c>
      <c r="D21" s="22" t="s">
        <v>460</v>
      </c>
      <c r="E21" s="23" t="s">
        <v>155</v>
      </c>
      <c r="F21" s="24" t="s">
        <v>181</v>
      </c>
      <c r="G21" s="23" t="s">
        <v>383</v>
      </c>
      <c r="H21" s="25" t="n">
        <v>16</v>
      </c>
      <c r="I21" s="26" t="n">
        <f aca="false">F21*H21</f>
        <v>32</v>
      </c>
      <c r="J21" s="23" t="s">
        <v>393</v>
      </c>
      <c r="K21" s="27" t="s">
        <v>394</v>
      </c>
      <c r="L21" s="23" t="s">
        <v>53</v>
      </c>
      <c r="M21" s="29" t="s">
        <v>61</v>
      </c>
      <c r="N21" s="22" t="s">
        <v>461</v>
      </c>
    </row>
    <row r="22" customFormat="false" ht="31.5" hidden="false" customHeight="true" outlineLevel="0" collapsed="false">
      <c r="A22" s="39" t="s">
        <v>462</v>
      </c>
      <c r="B22" s="40" t="s">
        <v>454</v>
      </c>
      <c r="C22" s="21" t="s">
        <v>463</v>
      </c>
      <c r="D22" s="22" t="s">
        <v>464</v>
      </c>
      <c r="E22" s="23" t="s">
        <v>155</v>
      </c>
      <c r="F22" s="24" t="s">
        <v>173</v>
      </c>
      <c r="G22" s="23" t="s">
        <v>383</v>
      </c>
      <c r="H22" s="25" t="n">
        <v>20</v>
      </c>
      <c r="I22" s="26" t="n">
        <f aca="false">F22*H22</f>
        <v>20</v>
      </c>
      <c r="J22" s="23" t="s">
        <v>465</v>
      </c>
      <c r="K22" s="27" t="s">
        <v>394</v>
      </c>
      <c r="L22" s="23" t="s">
        <v>53</v>
      </c>
      <c r="M22" s="29" t="s">
        <v>61</v>
      </c>
      <c r="N22" s="22" t="s">
        <v>466</v>
      </c>
    </row>
    <row r="23" customFormat="false" ht="31.5" hidden="false" customHeight="true" outlineLevel="0" collapsed="false">
      <c r="A23" s="39" t="s">
        <v>467</v>
      </c>
      <c r="B23" s="40" t="s">
        <v>468</v>
      </c>
      <c r="C23" s="21" t="s">
        <v>469</v>
      </c>
      <c r="D23" s="22" t="s">
        <v>470</v>
      </c>
      <c r="E23" s="23" t="s">
        <v>155</v>
      </c>
      <c r="F23" s="24" t="s">
        <v>409</v>
      </c>
      <c r="G23" s="23" t="s">
        <v>383</v>
      </c>
      <c r="H23" s="25" t="n">
        <v>14</v>
      </c>
      <c r="I23" s="26" t="n">
        <f aca="false">F23*H23</f>
        <v>42</v>
      </c>
      <c r="J23" s="23" t="s">
        <v>393</v>
      </c>
      <c r="K23" s="27" t="s">
        <v>394</v>
      </c>
      <c r="L23" s="23" t="s">
        <v>53</v>
      </c>
      <c r="M23" s="29" t="s">
        <v>61</v>
      </c>
      <c r="N23" s="22" t="s">
        <v>471</v>
      </c>
    </row>
    <row r="24" customFormat="false" ht="31.5" hidden="false" customHeight="true" outlineLevel="0" collapsed="false">
      <c r="A24" s="39" t="s">
        <v>472</v>
      </c>
      <c r="B24" s="40" t="s">
        <v>468</v>
      </c>
      <c r="C24" s="21" t="s">
        <v>473</v>
      </c>
      <c r="D24" s="22" t="s">
        <v>474</v>
      </c>
      <c r="E24" s="23" t="s">
        <v>155</v>
      </c>
      <c r="F24" s="24" t="s">
        <v>215</v>
      </c>
      <c r="G24" s="23" t="s">
        <v>383</v>
      </c>
      <c r="H24" s="25" t="n">
        <v>10</v>
      </c>
      <c r="I24" s="26" t="n">
        <f aca="false">F24*H24</f>
        <v>40</v>
      </c>
      <c r="J24" s="23" t="s">
        <v>393</v>
      </c>
      <c r="K24" s="27" t="s">
        <v>394</v>
      </c>
      <c r="L24" s="23" t="s">
        <v>53</v>
      </c>
      <c r="M24" s="29" t="s">
        <v>61</v>
      </c>
      <c r="N24" s="22" t="s">
        <v>475</v>
      </c>
    </row>
    <row r="25" customFormat="false" ht="31.5" hidden="false" customHeight="true" outlineLevel="0" collapsed="false">
      <c r="A25" s="39" t="s">
        <v>476</v>
      </c>
      <c r="B25" s="40" t="s">
        <v>468</v>
      </c>
      <c r="C25" s="21" t="s">
        <v>477</v>
      </c>
      <c r="D25" s="22" t="s">
        <v>478</v>
      </c>
      <c r="E25" s="23" t="s">
        <v>155</v>
      </c>
      <c r="F25" s="24" t="s">
        <v>181</v>
      </c>
      <c r="G25" s="23" t="s">
        <v>383</v>
      </c>
      <c r="H25" s="25" t="n">
        <v>8</v>
      </c>
      <c r="I25" s="26" t="n">
        <f aca="false">F25*H25</f>
        <v>16</v>
      </c>
      <c r="J25" s="23" t="s">
        <v>393</v>
      </c>
      <c r="K25" s="27" t="s">
        <v>394</v>
      </c>
      <c r="L25" s="23" t="s">
        <v>53</v>
      </c>
      <c r="M25" s="29" t="s">
        <v>61</v>
      </c>
      <c r="N25" s="22" t="s">
        <v>479</v>
      </c>
    </row>
    <row r="26" customFormat="false" ht="31.5" hidden="false" customHeight="true" outlineLevel="0" collapsed="false">
      <c r="A26" s="39" t="s">
        <v>480</v>
      </c>
      <c r="B26" s="40" t="s">
        <v>481</v>
      </c>
      <c r="C26" s="21" t="s">
        <v>482</v>
      </c>
      <c r="D26" s="22" t="s">
        <v>483</v>
      </c>
      <c r="E26" s="23" t="s">
        <v>155</v>
      </c>
      <c r="F26" s="24" t="s">
        <v>173</v>
      </c>
      <c r="G26" s="23" t="s">
        <v>383</v>
      </c>
      <c r="H26" s="25" t="n">
        <v>20</v>
      </c>
      <c r="I26" s="26" t="n">
        <f aca="false">F26*H26</f>
        <v>20</v>
      </c>
      <c r="J26" s="23" t="s">
        <v>393</v>
      </c>
      <c r="K26" s="27" t="s">
        <v>394</v>
      </c>
      <c r="L26" s="23" t="s">
        <v>53</v>
      </c>
      <c r="M26" s="29" t="s">
        <v>61</v>
      </c>
      <c r="N26" s="22" t="s">
        <v>484</v>
      </c>
    </row>
    <row r="27" customFormat="false" ht="31.5" hidden="false" customHeight="true" outlineLevel="0" collapsed="false">
      <c r="A27" s="39" t="s">
        <v>485</v>
      </c>
      <c r="B27" s="40" t="s">
        <v>481</v>
      </c>
      <c r="C27" s="21" t="s">
        <v>486</v>
      </c>
      <c r="D27" s="22" t="s">
        <v>487</v>
      </c>
      <c r="E27" s="23" t="s">
        <v>155</v>
      </c>
      <c r="F27" s="24" t="s">
        <v>181</v>
      </c>
      <c r="G27" s="23" t="s">
        <v>383</v>
      </c>
      <c r="H27" s="25" t="n">
        <v>10</v>
      </c>
      <c r="I27" s="26" t="n">
        <f aca="false">F27*H27</f>
        <v>20</v>
      </c>
      <c r="J27" s="23" t="s">
        <v>465</v>
      </c>
      <c r="K27" s="27" t="s">
        <v>394</v>
      </c>
      <c r="L27" s="23" t="s">
        <v>53</v>
      </c>
      <c r="M27" s="29" t="s">
        <v>61</v>
      </c>
      <c r="N27" s="22" t="s">
        <v>488</v>
      </c>
    </row>
    <row r="28" customFormat="false" ht="31.5" hidden="false" customHeight="true" outlineLevel="0" collapsed="false">
      <c r="A28" s="39" t="s">
        <v>489</v>
      </c>
      <c r="B28" s="40" t="s">
        <v>490</v>
      </c>
      <c r="C28" s="21" t="s">
        <v>491</v>
      </c>
      <c r="D28" s="22" t="s">
        <v>492</v>
      </c>
      <c r="E28" s="23" t="s">
        <v>155</v>
      </c>
      <c r="F28" s="24" t="s">
        <v>173</v>
      </c>
      <c r="G28" s="23" t="s">
        <v>383</v>
      </c>
      <c r="H28" s="25" t="n">
        <v>28</v>
      </c>
      <c r="I28" s="26" t="n">
        <f aca="false">F28*H28</f>
        <v>28</v>
      </c>
      <c r="J28" s="23" t="s">
        <v>393</v>
      </c>
      <c r="K28" s="27" t="s">
        <v>394</v>
      </c>
      <c r="L28" s="23" t="s">
        <v>53</v>
      </c>
      <c r="M28" s="29" t="s">
        <v>61</v>
      </c>
      <c r="N28" s="22" t="s">
        <v>493</v>
      </c>
    </row>
    <row r="29" customFormat="false" ht="31.5" hidden="false" customHeight="true" outlineLevel="0" collapsed="false">
      <c r="A29" s="39" t="s">
        <v>494</v>
      </c>
      <c r="B29" s="40" t="s">
        <v>490</v>
      </c>
      <c r="C29" s="21" t="s">
        <v>495</v>
      </c>
      <c r="D29" s="22" t="s">
        <v>496</v>
      </c>
      <c r="E29" s="23" t="s">
        <v>48</v>
      </c>
      <c r="F29" s="24" t="s">
        <v>173</v>
      </c>
      <c r="G29" s="23" t="s">
        <v>383</v>
      </c>
      <c r="H29" s="25" t="n">
        <v>8</v>
      </c>
      <c r="I29" s="26" t="n">
        <f aca="false">F29*H29</f>
        <v>8</v>
      </c>
      <c r="J29" s="23" t="s">
        <v>418</v>
      </c>
      <c r="K29" s="27" t="s">
        <v>394</v>
      </c>
      <c r="L29" s="23" t="s">
        <v>53</v>
      </c>
      <c r="M29" s="29" t="s">
        <v>61</v>
      </c>
      <c r="N29" s="22" t="s">
        <v>497</v>
      </c>
    </row>
    <row r="30" customFormat="false" ht="31.5" hidden="false" customHeight="true" outlineLevel="0" collapsed="false">
      <c r="A30" s="39" t="s">
        <v>498</v>
      </c>
      <c r="B30" s="40" t="s">
        <v>490</v>
      </c>
      <c r="C30" s="21" t="s">
        <v>499</v>
      </c>
      <c r="D30" s="22" t="s">
        <v>500</v>
      </c>
      <c r="E30" s="23" t="s">
        <v>48</v>
      </c>
      <c r="F30" s="24" t="s">
        <v>173</v>
      </c>
      <c r="G30" s="23" t="s">
        <v>383</v>
      </c>
      <c r="H30" s="25" t="n">
        <v>14</v>
      </c>
      <c r="I30" s="26" t="n">
        <f aca="false">F30*H30</f>
        <v>14</v>
      </c>
      <c r="J30" s="23" t="s">
        <v>418</v>
      </c>
      <c r="K30" s="27" t="s">
        <v>394</v>
      </c>
      <c r="L30" s="23" t="s">
        <v>53</v>
      </c>
      <c r="M30" s="29" t="s">
        <v>61</v>
      </c>
      <c r="N30" s="22" t="s">
        <v>501</v>
      </c>
    </row>
    <row r="31" customFormat="false" ht="31.5" hidden="false" customHeight="true" outlineLevel="0" collapsed="false">
      <c r="A31" s="39" t="s">
        <v>502</v>
      </c>
      <c r="B31" s="40" t="s">
        <v>490</v>
      </c>
      <c r="C31" s="21" t="s">
        <v>503</v>
      </c>
      <c r="D31" s="22" t="s">
        <v>504</v>
      </c>
      <c r="E31" s="23" t="s">
        <v>155</v>
      </c>
      <c r="F31" s="24" t="s">
        <v>173</v>
      </c>
      <c r="G31" s="23" t="s">
        <v>383</v>
      </c>
      <c r="H31" s="25" t="n">
        <v>12</v>
      </c>
      <c r="I31" s="26" t="n">
        <f aca="false">F31*H31</f>
        <v>12</v>
      </c>
      <c r="J31" s="23" t="s">
        <v>393</v>
      </c>
      <c r="K31" s="27" t="s">
        <v>394</v>
      </c>
      <c r="L31" s="23" t="s">
        <v>53</v>
      </c>
      <c r="M31" s="29" t="s">
        <v>61</v>
      </c>
      <c r="N31" s="22" t="s">
        <v>505</v>
      </c>
    </row>
    <row r="32" customFormat="false" ht="31.5" hidden="false" customHeight="true" outlineLevel="0" collapsed="false">
      <c r="A32" s="39" t="s">
        <v>506</v>
      </c>
      <c r="B32" s="40" t="s">
        <v>490</v>
      </c>
      <c r="C32" s="21" t="s">
        <v>507</v>
      </c>
      <c r="D32" s="22" t="s">
        <v>508</v>
      </c>
      <c r="E32" s="23" t="s">
        <v>48</v>
      </c>
      <c r="F32" s="24" t="s">
        <v>173</v>
      </c>
      <c r="G32" s="23" t="s">
        <v>383</v>
      </c>
      <c r="H32" s="25" t="n">
        <v>6</v>
      </c>
      <c r="I32" s="26" t="n">
        <f aca="false">F32*H32</f>
        <v>6</v>
      </c>
      <c r="J32" s="23" t="s">
        <v>418</v>
      </c>
      <c r="K32" s="27" t="s">
        <v>394</v>
      </c>
      <c r="L32" s="23" t="s">
        <v>53</v>
      </c>
      <c r="M32" s="29" t="s">
        <v>61</v>
      </c>
      <c r="N32" s="22" t="s">
        <v>509</v>
      </c>
    </row>
    <row r="33" customFormat="false" ht="31.5" hidden="false" customHeight="true" outlineLevel="0" collapsed="false">
      <c r="A33" s="39" t="s">
        <v>510</v>
      </c>
      <c r="B33" s="40" t="s">
        <v>511</v>
      </c>
      <c r="C33" s="21" t="s">
        <v>512</v>
      </c>
      <c r="D33" s="22" t="s">
        <v>513</v>
      </c>
      <c r="E33" s="23" t="s">
        <v>48</v>
      </c>
      <c r="F33" s="24" t="s">
        <v>173</v>
      </c>
      <c r="G33" s="23" t="s">
        <v>514</v>
      </c>
      <c r="H33" s="25" t="n">
        <v>4.8</v>
      </c>
      <c r="I33" s="26" t="n">
        <f aca="false">F33*H33</f>
        <v>4.8</v>
      </c>
      <c r="J33" s="23" t="s">
        <v>235</v>
      </c>
      <c r="K33" s="27" t="s">
        <v>515</v>
      </c>
      <c r="L33" s="23" t="s">
        <v>53</v>
      </c>
      <c r="M33" s="29" t="s">
        <v>61</v>
      </c>
      <c r="N33" s="22" t="s">
        <v>516</v>
      </c>
    </row>
    <row r="34" customFormat="false" ht="31.5" hidden="false" customHeight="true" outlineLevel="0" collapsed="false">
      <c r="A34" s="39" t="s">
        <v>517</v>
      </c>
      <c r="B34" s="40" t="s">
        <v>511</v>
      </c>
      <c r="C34" s="21" t="s">
        <v>518</v>
      </c>
      <c r="D34" s="22" t="s">
        <v>519</v>
      </c>
      <c r="E34" s="23" t="s">
        <v>48</v>
      </c>
      <c r="F34" s="24" t="s">
        <v>173</v>
      </c>
      <c r="G34" s="23" t="s">
        <v>520</v>
      </c>
      <c r="H34" s="25" t="n">
        <v>0</v>
      </c>
      <c r="I34" s="26" t="n">
        <f aca="false">F34*H34</f>
        <v>0</v>
      </c>
      <c r="J34" s="23" t="s">
        <v>235</v>
      </c>
      <c r="K34" s="27" t="s">
        <v>521</v>
      </c>
      <c r="L34" s="23" t="s">
        <v>53</v>
      </c>
      <c r="M34" s="29" t="s">
        <v>61</v>
      </c>
      <c r="N34" s="22" t="s">
        <v>522</v>
      </c>
    </row>
    <row r="35" customFormat="false" ht="31.5" hidden="false" customHeight="true" outlineLevel="0" collapsed="false">
      <c r="A35" s="39" t="s">
        <v>523</v>
      </c>
      <c r="B35" s="40" t="s">
        <v>511</v>
      </c>
      <c r="C35" s="21" t="s">
        <v>524</v>
      </c>
      <c r="D35" s="22" t="s">
        <v>525</v>
      </c>
      <c r="E35" s="23" t="s">
        <v>48</v>
      </c>
      <c r="F35" s="24" t="s">
        <v>173</v>
      </c>
      <c r="G35" s="23" t="s">
        <v>526</v>
      </c>
      <c r="H35" s="25" t="n">
        <v>6</v>
      </c>
      <c r="I35" s="26" t="n">
        <f aca="false">F35*H35</f>
        <v>6</v>
      </c>
      <c r="J35" s="23" t="s">
        <v>404</v>
      </c>
      <c r="K35" s="27" t="s">
        <v>527</v>
      </c>
      <c r="L35" s="23" t="s">
        <v>528</v>
      </c>
      <c r="M35" s="29" t="s">
        <v>61</v>
      </c>
      <c r="N35" s="22" t="s">
        <v>529</v>
      </c>
    </row>
    <row r="36" customFormat="false" ht="31.5" hidden="false" customHeight="true" outlineLevel="0" collapsed="false">
      <c r="A36" s="39" t="s">
        <v>530</v>
      </c>
      <c r="B36" s="40" t="s">
        <v>511</v>
      </c>
      <c r="C36" s="21" t="s">
        <v>531</v>
      </c>
      <c r="D36" s="22" t="s">
        <v>532</v>
      </c>
      <c r="E36" s="23" t="s">
        <v>48</v>
      </c>
      <c r="F36" s="24" t="s">
        <v>173</v>
      </c>
      <c r="G36" s="23" t="s">
        <v>526</v>
      </c>
      <c r="H36" s="25" t="n">
        <v>5</v>
      </c>
      <c r="I36" s="26" t="n">
        <f aca="false">F36*H36</f>
        <v>5</v>
      </c>
      <c r="J36" s="23" t="s">
        <v>319</v>
      </c>
      <c r="K36" s="27" t="s">
        <v>533</v>
      </c>
      <c r="L36" s="23" t="s">
        <v>53</v>
      </c>
      <c r="M36" s="29" t="s">
        <v>61</v>
      </c>
      <c r="N36" s="22" t="s">
        <v>534</v>
      </c>
    </row>
    <row r="37" customFormat="false" ht="18" hidden="false" customHeight="true" outlineLevel="0" collapsed="false">
      <c r="A37" s="31" t="s">
        <v>535</v>
      </c>
      <c r="B37" s="31"/>
      <c r="C37" s="31"/>
      <c r="D37" s="31"/>
      <c r="E37" s="31"/>
      <c r="F37" s="31"/>
      <c r="G37" s="31"/>
      <c r="H37" s="31"/>
      <c r="I37" s="32" t="n">
        <f aca="false">SUM(I4:I36)</f>
        <v>818.8</v>
      </c>
      <c r="J37" s="33"/>
      <c r="K37" s="33"/>
      <c r="L37" s="33"/>
      <c r="M37" s="33"/>
      <c r="N37" s="33"/>
    </row>
    <row r="38" customFormat="false" ht="24" hidden="false" customHeight="true" outlineLevel="0" collapsed="false">
      <c r="A38" s="34" t="s">
        <v>536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</sheetData>
  <mergeCells count="4">
    <mergeCell ref="A1:N1"/>
    <mergeCell ref="A2:N2"/>
    <mergeCell ref="A37:H37"/>
    <mergeCell ref="A38:N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28"/>
  </cols>
  <sheetData>
    <row r="1" customFormat="false" ht="24" hidden="false" customHeight="true" outlineLevel="0" collapsed="false">
      <c r="A1" s="16" t="s">
        <v>537</v>
      </c>
      <c r="B1" s="16"/>
      <c r="C1" s="16"/>
      <c r="D1" s="16"/>
      <c r="E1" s="16"/>
      <c r="F1" s="16"/>
      <c r="G1" s="16"/>
    </row>
    <row r="2" customFormat="false" ht="15" hidden="false" customHeight="false" outlineLevel="0" collapsed="false">
      <c r="A2" s="17" t="s">
        <v>538</v>
      </c>
      <c r="B2" s="17"/>
      <c r="C2" s="17"/>
      <c r="D2" s="17"/>
      <c r="E2" s="17"/>
      <c r="F2" s="17"/>
      <c r="G2" s="17"/>
    </row>
    <row r="3" customFormat="false" ht="15" hidden="false" customHeight="false" outlineLevel="0" collapsed="false">
      <c r="A3" s="5" t="s">
        <v>539</v>
      </c>
      <c r="B3" s="5" t="s">
        <v>32</v>
      </c>
      <c r="C3" s="5" t="s">
        <v>33</v>
      </c>
      <c r="D3" s="5" t="s">
        <v>540</v>
      </c>
      <c r="E3" s="5" t="s">
        <v>42</v>
      </c>
      <c r="F3" s="5" t="s">
        <v>541</v>
      </c>
      <c r="G3" s="5" t="s">
        <v>542</v>
      </c>
    </row>
    <row r="4" customFormat="false" ht="36" hidden="false" customHeight="true" outlineLevel="0" collapsed="false">
      <c r="A4" s="41" t="s">
        <v>85</v>
      </c>
      <c r="B4" s="42" t="s">
        <v>543</v>
      </c>
      <c r="C4" s="42" t="s">
        <v>544</v>
      </c>
      <c r="D4" s="41" t="s">
        <v>545</v>
      </c>
      <c r="E4" s="43" t="s">
        <v>93</v>
      </c>
      <c r="F4" s="42" t="s">
        <v>546</v>
      </c>
      <c r="G4" s="42" t="s">
        <v>547</v>
      </c>
    </row>
    <row r="5" customFormat="false" ht="36" hidden="false" customHeight="true" outlineLevel="0" collapsed="false">
      <c r="A5" s="41" t="s">
        <v>103</v>
      </c>
      <c r="B5" s="42" t="s">
        <v>548</v>
      </c>
      <c r="C5" s="42" t="s">
        <v>549</v>
      </c>
      <c r="D5" s="41" t="s">
        <v>545</v>
      </c>
      <c r="E5" s="43" t="s">
        <v>93</v>
      </c>
      <c r="F5" s="42" t="s">
        <v>546</v>
      </c>
      <c r="G5" s="42" t="s">
        <v>550</v>
      </c>
    </row>
    <row r="6" customFormat="false" ht="36" hidden="false" customHeight="true" outlineLevel="0" collapsed="false">
      <c r="A6" s="41" t="s">
        <v>122</v>
      </c>
      <c r="B6" s="42" t="s">
        <v>551</v>
      </c>
      <c r="C6" s="42" t="s">
        <v>552</v>
      </c>
      <c r="D6" s="41" t="s">
        <v>545</v>
      </c>
      <c r="E6" s="43" t="s">
        <v>93</v>
      </c>
      <c r="F6" s="42" t="s">
        <v>553</v>
      </c>
      <c r="G6" s="42" t="s">
        <v>554</v>
      </c>
    </row>
    <row r="7" customFormat="false" ht="36" hidden="false" customHeight="true" outlineLevel="0" collapsed="false">
      <c r="A7" s="44" t="s">
        <v>169</v>
      </c>
      <c r="B7" s="45" t="s">
        <v>555</v>
      </c>
      <c r="C7" s="45" t="s">
        <v>556</v>
      </c>
      <c r="D7" s="44" t="s">
        <v>545</v>
      </c>
      <c r="E7" s="46" t="s">
        <v>54</v>
      </c>
      <c r="F7" s="45" t="s">
        <v>557</v>
      </c>
      <c r="G7" s="45" t="s">
        <v>558</v>
      </c>
    </row>
    <row r="8" customFormat="false" ht="36" hidden="false" customHeight="true" outlineLevel="0" collapsed="false">
      <c r="A8" s="44" t="s">
        <v>71</v>
      </c>
      <c r="B8" s="45" t="s">
        <v>559</v>
      </c>
      <c r="C8" s="45" t="s">
        <v>560</v>
      </c>
      <c r="D8" s="44" t="s">
        <v>545</v>
      </c>
      <c r="E8" s="46" t="s">
        <v>54</v>
      </c>
      <c r="F8" s="45" t="s">
        <v>561</v>
      </c>
      <c r="G8" s="45" t="s">
        <v>562</v>
      </c>
    </row>
    <row r="9" customFormat="false" ht="36" hidden="false" customHeight="true" outlineLevel="0" collapsed="false">
      <c r="A9" s="44" t="s">
        <v>95</v>
      </c>
      <c r="B9" s="45" t="s">
        <v>563</v>
      </c>
      <c r="C9" s="45" t="s">
        <v>564</v>
      </c>
      <c r="D9" s="44" t="s">
        <v>545</v>
      </c>
      <c r="E9" s="46" t="s">
        <v>54</v>
      </c>
      <c r="F9" s="45" t="s">
        <v>565</v>
      </c>
      <c r="G9" s="45" t="s">
        <v>566</v>
      </c>
    </row>
    <row r="10" customFormat="false" ht="36" hidden="false" customHeight="true" outlineLevel="0" collapsed="false">
      <c r="A10" s="44" t="s">
        <v>129</v>
      </c>
      <c r="B10" s="45" t="s">
        <v>130</v>
      </c>
      <c r="C10" s="45" t="s">
        <v>567</v>
      </c>
      <c r="D10" s="44" t="s">
        <v>545</v>
      </c>
      <c r="E10" s="46" t="s">
        <v>54</v>
      </c>
      <c r="F10" s="45" t="s">
        <v>568</v>
      </c>
      <c r="G10" s="45" t="s">
        <v>569</v>
      </c>
    </row>
    <row r="11" customFormat="false" ht="36" hidden="false" customHeight="true" outlineLevel="0" collapsed="false">
      <c r="A11" s="44" t="s">
        <v>135</v>
      </c>
      <c r="B11" s="45" t="s">
        <v>136</v>
      </c>
      <c r="C11" s="45" t="s">
        <v>570</v>
      </c>
      <c r="D11" s="44" t="s">
        <v>545</v>
      </c>
      <c r="E11" s="46" t="s">
        <v>54</v>
      </c>
      <c r="F11" s="45" t="s">
        <v>571</v>
      </c>
      <c r="G11" s="45" t="s">
        <v>572</v>
      </c>
    </row>
    <row r="12" customFormat="false" ht="36" hidden="false" customHeight="true" outlineLevel="0" collapsed="false">
      <c r="A12" s="44" t="s">
        <v>231</v>
      </c>
      <c r="B12" s="45" t="s">
        <v>573</v>
      </c>
      <c r="C12" s="45" t="s">
        <v>574</v>
      </c>
      <c r="D12" s="44" t="s">
        <v>575</v>
      </c>
      <c r="E12" s="46" t="s">
        <v>54</v>
      </c>
      <c r="F12" s="45" t="s">
        <v>576</v>
      </c>
      <c r="G12" s="45" t="s">
        <v>577</v>
      </c>
    </row>
    <row r="13" customFormat="false" ht="36" hidden="false" customHeight="true" outlineLevel="0" collapsed="false">
      <c r="A13" s="44" t="s">
        <v>252</v>
      </c>
      <c r="B13" s="45" t="s">
        <v>578</v>
      </c>
      <c r="C13" s="45" t="s">
        <v>579</v>
      </c>
      <c r="D13" s="44" t="s">
        <v>575</v>
      </c>
      <c r="E13" s="46" t="s">
        <v>54</v>
      </c>
      <c r="F13" s="45" t="s">
        <v>580</v>
      </c>
      <c r="G13" s="45" t="s">
        <v>581</v>
      </c>
    </row>
    <row r="14" customFormat="false" ht="36" hidden="false" customHeight="true" outlineLevel="0" collapsed="false">
      <c r="A14" s="44" t="s">
        <v>284</v>
      </c>
      <c r="B14" s="45" t="s">
        <v>582</v>
      </c>
      <c r="C14" s="45" t="s">
        <v>583</v>
      </c>
      <c r="D14" s="44" t="s">
        <v>575</v>
      </c>
      <c r="E14" s="46" t="s">
        <v>54</v>
      </c>
      <c r="F14" s="45" t="s">
        <v>584</v>
      </c>
      <c r="G14" s="45" t="s">
        <v>585</v>
      </c>
    </row>
    <row r="15" customFormat="false" ht="36" hidden="false" customHeight="true" outlineLevel="0" collapsed="false">
      <c r="A15" s="44" t="s">
        <v>291</v>
      </c>
      <c r="B15" s="45" t="s">
        <v>586</v>
      </c>
      <c r="C15" s="45" t="s">
        <v>587</v>
      </c>
      <c r="D15" s="44" t="s">
        <v>575</v>
      </c>
      <c r="E15" s="46" t="s">
        <v>54</v>
      </c>
      <c r="F15" s="45" t="s">
        <v>588</v>
      </c>
      <c r="G15" s="45" t="s">
        <v>589</v>
      </c>
    </row>
    <row r="16" customFormat="false" ht="36" hidden="false" customHeight="true" outlineLevel="0" collapsed="false">
      <c r="A16" s="44" t="s">
        <v>304</v>
      </c>
      <c r="B16" s="45" t="s">
        <v>590</v>
      </c>
      <c r="C16" s="45" t="s">
        <v>591</v>
      </c>
      <c r="D16" s="44" t="s">
        <v>575</v>
      </c>
      <c r="E16" s="46" t="s">
        <v>54</v>
      </c>
      <c r="F16" s="45" t="s">
        <v>580</v>
      </c>
      <c r="G16" s="45" t="s">
        <v>592</v>
      </c>
    </row>
    <row r="17" customFormat="false" ht="36" hidden="false" customHeight="true" outlineLevel="0" collapsed="false">
      <c r="A17" s="41" t="s">
        <v>445</v>
      </c>
      <c r="B17" s="42" t="s">
        <v>446</v>
      </c>
      <c r="C17" s="42" t="s">
        <v>593</v>
      </c>
      <c r="D17" s="41" t="s">
        <v>16</v>
      </c>
      <c r="E17" s="43" t="s">
        <v>93</v>
      </c>
      <c r="F17" s="42" t="s">
        <v>594</v>
      </c>
      <c r="G17" s="42" t="s">
        <v>595</v>
      </c>
    </row>
    <row r="18" customFormat="false" ht="36" hidden="false" customHeight="true" outlineLevel="0" collapsed="false">
      <c r="A18" s="41" t="s">
        <v>449</v>
      </c>
      <c r="B18" s="42" t="s">
        <v>596</v>
      </c>
      <c r="C18" s="42" t="s">
        <v>597</v>
      </c>
      <c r="D18" s="41" t="s">
        <v>16</v>
      </c>
      <c r="E18" s="43" t="s">
        <v>93</v>
      </c>
      <c r="F18" s="42" t="s">
        <v>594</v>
      </c>
      <c r="G18" s="42" t="s">
        <v>598</v>
      </c>
    </row>
    <row r="19" customFormat="false" ht="36" hidden="false" customHeight="true" outlineLevel="0" collapsed="false">
      <c r="A19" s="44" t="s">
        <v>433</v>
      </c>
      <c r="B19" s="45" t="s">
        <v>434</v>
      </c>
      <c r="C19" s="45" t="s">
        <v>599</v>
      </c>
      <c r="D19" s="44" t="s">
        <v>16</v>
      </c>
      <c r="E19" s="46" t="s">
        <v>54</v>
      </c>
      <c r="F19" s="45" t="s">
        <v>594</v>
      </c>
      <c r="G19" s="45" t="s">
        <v>600</v>
      </c>
    </row>
    <row r="20" customFormat="false" ht="36" hidden="false" customHeight="true" outlineLevel="0" collapsed="false">
      <c r="A20" s="44" t="s">
        <v>424</v>
      </c>
      <c r="B20" s="45" t="s">
        <v>601</v>
      </c>
      <c r="C20" s="45" t="s">
        <v>602</v>
      </c>
      <c r="D20" s="44" t="s">
        <v>16</v>
      </c>
      <c r="E20" s="46" t="s">
        <v>54</v>
      </c>
      <c r="F20" s="45" t="s">
        <v>603</v>
      </c>
      <c r="G20" s="45" t="s">
        <v>604</v>
      </c>
    </row>
    <row r="21" customFormat="false" ht="36" hidden="false" customHeight="true" outlineLevel="0" collapsed="false">
      <c r="A21" s="44" t="s">
        <v>379</v>
      </c>
      <c r="B21" s="45" t="s">
        <v>605</v>
      </c>
      <c r="C21" s="45" t="s">
        <v>606</v>
      </c>
      <c r="D21" s="44" t="s">
        <v>16</v>
      </c>
      <c r="E21" s="46" t="s">
        <v>54</v>
      </c>
      <c r="F21" s="45" t="s">
        <v>607</v>
      </c>
      <c r="G21" s="45" t="s">
        <v>608</v>
      </c>
    </row>
    <row r="22" customFormat="false" ht="36" hidden="false" customHeight="true" outlineLevel="0" collapsed="false">
      <c r="A22" s="44" t="s">
        <v>386</v>
      </c>
      <c r="B22" s="45" t="s">
        <v>609</v>
      </c>
      <c r="C22" s="45" t="s">
        <v>610</v>
      </c>
      <c r="D22" s="44" t="s">
        <v>16</v>
      </c>
      <c r="E22" s="46" t="s">
        <v>54</v>
      </c>
      <c r="F22" s="45" t="s">
        <v>607</v>
      </c>
      <c r="G22" s="45" t="s">
        <v>611</v>
      </c>
    </row>
    <row r="23" customFormat="false" ht="36" hidden="false" customHeight="true" outlineLevel="0" collapsed="false">
      <c r="A23" s="44" t="s">
        <v>453</v>
      </c>
      <c r="B23" s="45" t="s">
        <v>455</v>
      </c>
      <c r="C23" s="45" t="s">
        <v>612</v>
      </c>
      <c r="D23" s="44" t="s">
        <v>16</v>
      </c>
      <c r="E23" s="46" t="s">
        <v>54</v>
      </c>
      <c r="F23" s="45" t="s">
        <v>594</v>
      </c>
      <c r="G23" s="45" t="s">
        <v>613</v>
      </c>
    </row>
    <row r="24" customFormat="false" ht="24" hidden="false" customHeight="true" outlineLevel="0" collapsed="false">
      <c r="A24" s="34" t="s">
        <v>614</v>
      </c>
      <c r="B24" s="34"/>
      <c r="C24" s="34"/>
      <c r="D24" s="34"/>
      <c r="E24" s="34"/>
      <c r="F24" s="34"/>
      <c r="G24" s="34"/>
    </row>
  </sheetData>
  <mergeCells count="3">
    <mergeCell ref="A1:G1"/>
    <mergeCell ref="A2:G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2026-06-27T06:15:18Z</dcterms:created>
  <dc:creator>openpyxl</dc:creator>
  <dc:description/>
  <dc:language>en-US</dc:language>
  <cp:lastModifiedBy/>
  <dcterms:modified xsi:type="dcterms:W3CDTF">2026-06-27T06:15:18Z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